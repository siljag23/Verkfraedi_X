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ragnarsdottir/Library/CloudStorage/OneDrive-ReykjavikUniversity/HR vor 2026/verkfr x/"/>
    </mc:Choice>
  </mc:AlternateContent>
  <xr:revisionPtr revIDLastSave="0" documentId="8_{E3BC274C-6552-ED4A-A5FB-DE346734BD61}" xr6:coauthVersionLast="47" xr6:coauthVersionMax="47" xr10:uidLastSave="{00000000-0000-0000-0000-000000000000}"/>
  <bookViews>
    <workbookView xWindow="900" yWindow="780" windowWidth="27980" windowHeight="16860" activeTab="1" xr2:uid="{7CFC1604-4118-4D2C-86E1-DDF4E62B5004}"/>
  </bookViews>
  <sheets>
    <sheet name="Events" sheetId="3" r:id="rId1"/>
    <sheet name="Employees" sheetId="2" r:id="rId2"/>
    <sheet name="DaysOff" sheetId="4" r:id="rId3"/>
    <sheet name="EventReq" sheetId="9" r:id="rId4"/>
    <sheet name="ScoreKeys" sheetId="7" r:id="rId5"/>
    <sheet name="SkillsetScores" sheetId="8" r:id="rId6"/>
    <sheet name="Score krass" sheetId="6" r:id="rId7"/>
    <sheet name="EventTypes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" i="9" l="1"/>
  <c r="AI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B43" i="9"/>
  <c r="B44" i="9"/>
  <c r="B45" i="9"/>
  <c r="B46" i="9"/>
  <c r="B39" i="9"/>
  <c r="B40" i="9"/>
  <c r="B41" i="9"/>
  <c r="B42" i="9"/>
  <c r="B32" i="9"/>
  <c r="B33" i="9"/>
  <c r="B34" i="9"/>
  <c r="B35" i="9"/>
  <c r="B36" i="9"/>
  <c r="B37" i="9"/>
  <c r="B38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8" i="9"/>
  <c r="A9" i="9"/>
  <c r="A10" i="9"/>
  <c r="A7" i="9"/>
  <c r="B6" i="9"/>
  <c r="B5" i="9"/>
  <c r="B4" i="9"/>
  <c r="B3" i="9"/>
  <c r="B2" i="9"/>
  <c r="F46" i="3" l="1"/>
  <c r="E46" i="3"/>
  <c r="D46" i="3"/>
  <c r="H45" i="3"/>
  <c r="G45" i="3"/>
  <c r="F45" i="3"/>
  <c r="E45" i="3"/>
  <c r="D45" i="3"/>
  <c r="H44" i="3"/>
  <c r="F44" i="3"/>
  <c r="E44" i="3"/>
  <c r="D44" i="3"/>
  <c r="H43" i="3"/>
  <c r="G43" i="3"/>
  <c r="F43" i="3"/>
  <c r="E43" i="3"/>
  <c r="D43" i="3"/>
  <c r="H42" i="3"/>
  <c r="G42" i="3"/>
  <c r="F42" i="3"/>
  <c r="E42" i="3"/>
  <c r="D42" i="3"/>
  <c r="H41" i="3"/>
  <c r="G41" i="3"/>
  <c r="F41" i="3"/>
  <c r="E41" i="3"/>
  <c r="D41" i="3"/>
  <c r="H40" i="3"/>
  <c r="G40" i="3"/>
  <c r="F40" i="3"/>
  <c r="E40" i="3"/>
  <c r="D40" i="3"/>
  <c r="H39" i="3"/>
  <c r="G39" i="3"/>
  <c r="F39" i="3"/>
  <c r="E39" i="3"/>
  <c r="D39" i="3"/>
  <c r="H38" i="3"/>
  <c r="G38" i="3"/>
  <c r="F38" i="3"/>
  <c r="E38" i="3"/>
  <c r="D38" i="3"/>
  <c r="H37" i="3"/>
  <c r="G37" i="3"/>
  <c r="F37" i="3"/>
  <c r="E37" i="3"/>
  <c r="D37" i="3"/>
  <c r="H36" i="3"/>
  <c r="G36" i="3"/>
  <c r="F36" i="3"/>
  <c r="E36" i="3"/>
  <c r="D36" i="3"/>
  <c r="H35" i="3"/>
  <c r="F35" i="3"/>
  <c r="E35" i="3"/>
  <c r="D35" i="3"/>
  <c r="H34" i="3"/>
  <c r="F34" i="3"/>
  <c r="E34" i="3"/>
  <c r="D34" i="3"/>
  <c r="H33" i="3"/>
  <c r="F33" i="3"/>
  <c r="E33" i="3"/>
  <c r="D33" i="3"/>
  <c r="H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H29" i="3"/>
  <c r="F29" i="3"/>
  <c r="E29" i="3"/>
  <c r="D29" i="3"/>
  <c r="H28" i="3"/>
  <c r="G28" i="3"/>
  <c r="F28" i="3"/>
  <c r="E28" i="3"/>
  <c r="D28" i="3"/>
  <c r="H27" i="3"/>
  <c r="G27" i="3"/>
  <c r="F27" i="3"/>
  <c r="E27" i="3"/>
  <c r="D27" i="3"/>
  <c r="H26" i="3"/>
  <c r="G26" i="3"/>
  <c r="F26" i="3"/>
  <c r="E26" i="3"/>
  <c r="D26" i="3"/>
  <c r="H25" i="3"/>
  <c r="G25" i="3"/>
  <c r="F25" i="3"/>
  <c r="E25" i="3"/>
  <c r="D25" i="3"/>
  <c r="D2" i="3"/>
  <c r="E2" i="3"/>
  <c r="F2" i="3"/>
  <c r="G2" i="3"/>
  <c r="H2" i="3"/>
  <c r="I2" i="3"/>
  <c r="D3" i="3"/>
  <c r="E3" i="3"/>
  <c r="F3" i="3"/>
  <c r="H3" i="3"/>
  <c r="D4" i="3"/>
  <c r="E4" i="3"/>
  <c r="F4" i="3"/>
  <c r="G4" i="3"/>
  <c r="H4" i="3"/>
  <c r="D5" i="3"/>
  <c r="E5" i="3"/>
  <c r="F5" i="3"/>
  <c r="H5" i="3"/>
  <c r="D6" i="3"/>
  <c r="E6" i="3"/>
  <c r="F6" i="3"/>
  <c r="G6" i="3"/>
  <c r="H6" i="3"/>
  <c r="D7" i="3"/>
  <c r="E7" i="3"/>
  <c r="F7" i="3"/>
  <c r="G7" i="3"/>
  <c r="H7" i="3"/>
  <c r="D8" i="3"/>
  <c r="E8" i="3"/>
  <c r="F8" i="3"/>
  <c r="G8" i="3"/>
  <c r="H8" i="3"/>
  <c r="I8" i="3"/>
  <c r="D9" i="3"/>
  <c r="E9" i="3"/>
  <c r="F9" i="3"/>
  <c r="G9" i="3"/>
  <c r="H9" i="3"/>
  <c r="I9" i="3"/>
  <c r="D10" i="3"/>
  <c r="E10" i="3"/>
  <c r="F10" i="3"/>
  <c r="G10" i="3"/>
  <c r="H10" i="3"/>
  <c r="D11" i="3"/>
  <c r="E11" i="3"/>
  <c r="F11" i="3"/>
  <c r="G11" i="3"/>
  <c r="H11" i="3"/>
  <c r="D12" i="3"/>
  <c r="E12" i="3"/>
  <c r="F12" i="3"/>
  <c r="H12" i="3"/>
  <c r="D13" i="3"/>
  <c r="E13" i="3"/>
  <c r="F13" i="3"/>
  <c r="G13" i="3"/>
  <c r="H13" i="3"/>
  <c r="D14" i="3"/>
  <c r="E14" i="3"/>
  <c r="F14" i="3"/>
  <c r="H14" i="3"/>
  <c r="D15" i="3"/>
  <c r="E15" i="3"/>
  <c r="F15" i="3"/>
  <c r="G15" i="3"/>
  <c r="H15" i="3"/>
  <c r="D16" i="3"/>
  <c r="E16" i="3"/>
  <c r="F16" i="3"/>
  <c r="G16" i="3"/>
  <c r="H16" i="3"/>
  <c r="I16" i="3"/>
  <c r="D17" i="3"/>
  <c r="E17" i="3"/>
  <c r="F17" i="3"/>
  <c r="G17" i="3"/>
  <c r="H17" i="3"/>
  <c r="D18" i="3"/>
  <c r="E18" i="3"/>
  <c r="F18" i="3"/>
  <c r="G18" i="3"/>
  <c r="H18" i="3"/>
  <c r="I18" i="3"/>
  <c r="D19" i="3"/>
  <c r="E19" i="3"/>
  <c r="F19" i="3"/>
  <c r="H19" i="3"/>
  <c r="D20" i="3"/>
  <c r="E20" i="3"/>
  <c r="F20" i="3"/>
  <c r="H20" i="3"/>
  <c r="D21" i="3"/>
  <c r="E21" i="3"/>
  <c r="F21" i="3"/>
  <c r="H21" i="3"/>
  <c r="D22" i="3"/>
  <c r="E22" i="3"/>
  <c r="F22" i="3"/>
  <c r="H22" i="3"/>
  <c r="D23" i="3"/>
  <c r="E23" i="3"/>
  <c r="F23" i="3"/>
  <c r="H23" i="3"/>
  <c r="D24" i="3"/>
  <c r="E24" i="3"/>
  <c r="F24" i="3"/>
  <c r="G24" i="3"/>
  <c r="H24" i="3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2" i="9"/>
  <c r="A3" i="9"/>
  <c r="A4" i="9"/>
  <c r="A5" i="9"/>
  <c r="A6" i="9"/>
  <c r="A1" i="9"/>
  <c r="C27" i="7"/>
  <c r="C28" i="7" s="1"/>
  <c r="C29" i="7" s="1"/>
  <c r="C27" i="6"/>
  <c r="C28" i="6" s="1"/>
  <c r="C29" i="6" s="1"/>
  <c r="C21" i="6"/>
  <c r="C22" i="6" s="1"/>
  <c r="C23" i="6" s="1"/>
  <c r="C24" i="6" s="1"/>
</calcChain>
</file>

<file path=xl/sharedStrings.xml><?xml version="1.0" encoding="utf-8"?>
<sst xmlns="http://schemas.openxmlformats.org/spreadsheetml/2006/main" count="322" uniqueCount="149">
  <si>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</si>
  <si>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</si>
  <si>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</si>
  <si>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</si>
  <si>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</si>
  <si>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</si>
  <si>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</si>
  <si>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</si>
  <si>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</si>
  <si>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</si>
  <si>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</si>
  <si>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Sígildir</t>
  </si>
  <si>
    <t>Partý EB</t>
  </si>
  <si>
    <t>Partý SB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</si>
  <si>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</si>
  <si>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</si>
  <si>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</si>
  <si>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</si>
  <si>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</si>
  <si>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</si>
  <si>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</si>
  <si>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</si>
  <si>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</si>
  <si>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</si>
  <si>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</si>
  <si>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</si>
  <si>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</si>
  <si>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Mínus</t>
  </si>
  <si>
    <t>Helgi, kominn með aðra helgi</t>
  </si>
  <si>
    <t>Ef þú ert ekki kominn með neina vakt um helgi</t>
  </si>
  <si>
    <t>Ef þú ert kominn með 1 helgi</t>
  </si>
  <si>
    <t>Ef þú ert kominn með 2 helgar</t>
  </si>
  <si>
    <t>Ef þú ert kominn með 3 helgar</t>
  </si>
  <si>
    <t>Ef þú ert kominn með 4 helgar</t>
  </si>
  <si>
    <t>Helgi, var með helgi síðast</t>
  </si>
  <si>
    <t>Ef þú varst með 1 helgi</t>
  </si>
  <si>
    <t>Ef þú varst með 2 helgar</t>
  </si>
  <si>
    <t>Ef þú varst með 3 helgar</t>
  </si>
  <si>
    <t>Ef þú varst með 4 helgar</t>
  </si>
  <si>
    <t>Ef þú varst með 5 helgar</t>
  </si>
  <si>
    <t>Salur</t>
  </si>
  <si>
    <t>Ef þú ert búinn að fá 1 vakt í þessum sal á tímabilinu</t>
  </si>
  <si>
    <t>Ef þú ert búinn að fá 2 vaktir í þessum sal á tímabilinu</t>
  </si>
  <si>
    <t>Ef þú ert búinn að fá 3 vaktir í þessum sal á tímabilinu</t>
  </si>
  <si>
    <t>Ef þú ert búinn að fá 4 vaktir í þessum sal á tímabilinu</t>
  </si>
  <si>
    <t>Ef þú ert búinn að fá 5 vaktir í þessum sal á tímabilinu</t>
  </si>
  <si>
    <t>Vika</t>
  </si>
  <si>
    <t>Ef þú ert búinn að fá 1 vakt í þessari viku</t>
  </si>
  <si>
    <t>Ef þú ert búinn að fá 2 vaktir í þessari viku</t>
  </si>
  <si>
    <t>Ef þú ert búinn að fá 3 vaktir í þessari viku</t>
  </si>
  <si>
    <t>Ef þú ert búinn að fá 4 vaktir í þessari viku</t>
  </si>
  <si>
    <t>Ef þú ert búinn að fá 5 vaktir í þessari viku</t>
  </si>
  <si>
    <t>Hvað hún er löng</t>
  </si>
  <si>
    <t>Ef þú ert búinn að fá 1 vakt með þessa lengd</t>
  </si>
  <si>
    <t>Ef þú ert búinn að fá 2 vaktir með þessa lengd</t>
  </si>
  <si>
    <t>Ef þú ert búinn að fá 3 vaktir með þessa lengd</t>
  </si>
  <si>
    <t>Ef þú ert búinn að fá 4 vaktir með þessa lengd</t>
  </si>
  <si>
    <t>Langar vaktir</t>
  </si>
  <si>
    <t>Ef þú ert búinn að fá vakt á þessu tímabili sem er lengri en 6 klst.</t>
  </si>
  <si>
    <t>Með hverjum?</t>
  </si>
  <si>
    <t>Skillset</t>
  </si>
  <si>
    <t>Ef þarf skillset 2 en þú ert 1</t>
  </si>
  <si>
    <t>Ef þarf skillset 2 en þú ert 3</t>
  </si>
  <si>
    <t>Ef þarf skillset 3 og þú ert</t>
  </si>
  <si>
    <t>Ef þarf skillset 2 og þú ert</t>
  </si>
  <si>
    <t>Ef þarf skillset 1 og þú ert</t>
  </si>
  <si>
    <t>Upprás</t>
  </si>
  <si>
    <t>K&amp;B</t>
  </si>
  <si>
    <t>EmployeeID</t>
  </si>
  <si>
    <t>EmployeeName</t>
  </si>
  <si>
    <t>EventCategory</t>
  </si>
  <si>
    <t>Solo</t>
  </si>
  <si>
    <t>Barna</t>
  </si>
  <si>
    <t>Party</t>
  </si>
  <si>
    <t>Basic</t>
  </si>
  <si>
    <t>RuleType</t>
  </si>
  <si>
    <t>Key</t>
  </si>
  <si>
    <t>Score</t>
  </si>
  <si>
    <t>Weekend</t>
  </si>
  <si>
    <t>Weekend_last_period</t>
  </si>
  <si>
    <t>Shifts_this_week</t>
  </si>
  <si>
    <t>Shifs_this_length</t>
  </si>
  <si>
    <t>Shift_over_six_hours</t>
  </si>
  <si>
    <t>ReqSkillset</t>
  </si>
  <si>
    <t>EmpSkillset</t>
  </si>
  <si>
    <t>Ef þarf skillset 1 en þú ert ekki</t>
  </si>
  <si>
    <t>Ef þarf skillset 3 og þú ert 1 eða 2</t>
  </si>
  <si>
    <t>Req_this_shift</t>
  </si>
  <si>
    <t>Category</t>
  </si>
  <si>
    <t xml:space="preserve">Alda/ Miðó </t>
  </si>
  <si>
    <t xml:space="preserve">Anna Soffía </t>
  </si>
  <si>
    <t>Arnar Ragn</t>
  </si>
  <si>
    <t xml:space="preserve">Auður </t>
  </si>
  <si>
    <t xml:space="preserve">Elísabet </t>
  </si>
  <si>
    <t xml:space="preserve">Elmar </t>
  </si>
  <si>
    <t xml:space="preserve">Erna </t>
  </si>
  <si>
    <t xml:space="preserve">Gaukur </t>
  </si>
  <si>
    <t>Gréta</t>
  </si>
  <si>
    <t xml:space="preserve">Guðný  </t>
  </si>
  <si>
    <t xml:space="preserve">Hólmfríður </t>
  </si>
  <si>
    <t>Hrafnkell</t>
  </si>
  <si>
    <t xml:space="preserve">Hrannar </t>
  </si>
  <si>
    <t xml:space="preserve">Jórunn  </t>
  </si>
  <si>
    <t>Katrín Hel</t>
  </si>
  <si>
    <t xml:space="preserve">Katrín Sig </t>
  </si>
  <si>
    <t xml:space="preserve">Laufey </t>
  </si>
  <si>
    <t xml:space="preserve">Magnús  </t>
  </si>
  <si>
    <t>Orri</t>
  </si>
  <si>
    <t xml:space="preserve">Rut </t>
  </si>
  <si>
    <t>Sara B</t>
  </si>
  <si>
    <t xml:space="preserve">Sara Júlía </t>
  </si>
  <si>
    <t xml:space="preserve">Selma </t>
  </si>
  <si>
    <t xml:space="preserve">Sigríður </t>
  </si>
  <si>
    <t>Sveinn</t>
  </si>
  <si>
    <t xml:space="preserve">Sæmundur </t>
  </si>
  <si>
    <t xml:space="preserve">Valdís </t>
  </si>
  <si>
    <t xml:space="preserve">Védís </t>
  </si>
  <si>
    <t xml:space="preserve">Unnar </t>
  </si>
  <si>
    <t>Ömmi</t>
  </si>
  <si>
    <t xml:space="preserve">Arnar </t>
  </si>
  <si>
    <t xml:space="preserve">Róbert </t>
  </si>
  <si>
    <t xml:space="preserve">Jara </t>
  </si>
  <si>
    <t xml:space="preserve">Þórey </t>
  </si>
  <si>
    <t>RF</t>
  </si>
  <si>
    <t>VH</t>
  </si>
  <si>
    <t>Fam</t>
  </si>
  <si>
    <t>PL</t>
  </si>
  <si>
    <t>IA</t>
  </si>
  <si>
    <t>MÍT</t>
  </si>
  <si>
    <t>NB</t>
  </si>
  <si>
    <t>DWC</t>
  </si>
  <si>
    <t>SÍ</t>
  </si>
  <si>
    <t>KP</t>
  </si>
  <si>
    <t>Barna dans</t>
  </si>
  <si>
    <t>UpT</t>
  </si>
  <si>
    <t>SR</t>
  </si>
  <si>
    <t>LR</t>
  </si>
  <si>
    <t>FB</t>
  </si>
  <si>
    <t>HT</t>
  </si>
  <si>
    <t>KV</t>
  </si>
  <si>
    <t>DP</t>
  </si>
  <si>
    <t>VR</t>
  </si>
  <si>
    <t>Agnes Anna</t>
  </si>
  <si>
    <t>Ágústa</t>
  </si>
  <si>
    <t>Daníel</t>
  </si>
  <si>
    <t>Magnea</t>
  </si>
  <si>
    <t>Margrét Lára</t>
  </si>
  <si>
    <t>Palli</t>
  </si>
  <si>
    <t>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</si>
</sst>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4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46"/>
  <sheetViews>
    <sheetView zoomScaleNormal="100" workbookViewId="0">
      <selection activeCell="N26" sqref="N26"/>
    </sheetView>
  </sheetViews>
  <sheetFormatPr baseColWidth="10" defaultColWidth="8.83203125" defaultRowHeight="15" x14ac:dyDescent="0.2"/>
  <cols>
    <col min="2" max="2" width="13.5" bestFit="1" customWidth="1"/>
    <col min="3" max="3" width="11.83203125" customWidth="1"/>
    <col min="4" max="4" width="12.83203125" bestFit="1" customWidth="1"/>
    <col min="5" max="5" width="11.83203125" customWidth="1"/>
    <col min="9" max="11" width="10.1640625" bestFit="1" customWidth="1"/>
    <col min="12" max="12" width="9.6640625" bestFit="1" customWidth="1"/>
  </cols>
  <sheetData>
    <row r="1" spans="1:12" x14ac:dyDescent="0.2">
      <c r="A1" s="1" t="s">
        <v>25</v>
      </c>
      <c r="B1" s="1" t="s">
        <v>0</v>
      </c>
      <c r="C1" s="1" t="s">
        <v>19</v>
      </c>
      <c r="D1" s="1" t="s">
        <v>70</v>
      </c>
      <c r="E1" s="1" t="s">
        <v>26</v>
      </c>
      <c r="F1" s="1" t="s">
        <v>1</v>
      </c>
      <c r="G1" s="1" t="s">
        <v>20</v>
      </c>
      <c r="H1" s="1" t="s">
        <v>21</v>
      </c>
      <c r="I1" s="1" t="s">
        <v>22</v>
      </c>
      <c r="J1" s="1" t="s">
        <v>10</v>
      </c>
      <c r="K1" s="1" t="s">
        <v>23</v>
      </c>
      <c r="L1" s="1" t="s">
        <v>24</v>
      </c>
    </row>
    <row r="2" spans="1:12" s="6" customFormat="1" x14ac:dyDescent="0.2">
      <c r="A2" s="6">
        <v>1</v>
      </c>
      <c r="B2" s="6" t="s">
        <v>7</v>
      </c>
      <c r="C2" s="6" t="s">
        <v>7</v>
      </c>
      <c r="D2" s="6" t="str">
        <f>_xlfn.XLOOKUP(C2,EventTypes!A:A,EventTypes!B:B,"")</f>
        <v>Solo</v>
      </c>
      <c r="E2" s="6">
        <f>_xlfn.XLOOKUP(C2,EventTypes!A:A,EventTypes!D:D,"")</f>
        <v>90</v>
      </c>
      <c r="F2" s="6" t="str">
        <f>_xlfn.XLOOKUP(C2,EventTypes!A:A,EventTypes!C:C,"")</f>
        <v>BL</v>
      </c>
      <c r="G2" s="6">
        <f>_xlfn.XLOOKUP(C2,EventTypes!A:A,EventTypes!E:E,"")</f>
        <v>0</v>
      </c>
      <c r="H2" s="6">
        <f>_xlfn.XLOOKUP(C2,EventTypes!A:A,EventTypes!F:F,"")</f>
        <v>0</v>
      </c>
      <c r="I2" s="6">
        <f>_xlfn.XLOOKUP(C2,EventTypes!A:A,EventTypes!G:G,"")</f>
        <v>1</v>
      </c>
      <c r="J2" s="7">
        <v>46113</v>
      </c>
      <c r="K2" s="8">
        <v>0.79166666666666663</v>
      </c>
      <c r="L2" s="8">
        <v>0.95833333333333337</v>
      </c>
    </row>
    <row r="3" spans="1:12" s="6" customFormat="1" x14ac:dyDescent="0.2">
      <c r="A3" s="6">
        <v>2</v>
      </c>
      <c r="B3" s="6" t="s">
        <v>123</v>
      </c>
      <c r="C3" s="6" t="s">
        <v>6</v>
      </c>
      <c r="D3" s="6" t="str">
        <f>_xlfn.XLOOKUP(C3,EventTypes!A:A,EventTypes!B:B,"")</f>
        <v>Basic</v>
      </c>
      <c r="E3" s="6">
        <f>_xlfn.XLOOKUP(C3,EventTypes!A:A,EventTypes!D:D,"")</f>
        <v>80</v>
      </c>
      <c r="F3" s="6" t="str">
        <f>_xlfn.XLOOKUP(C3,EventTypes!A:A,EventTypes!C:C,"")</f>
        <v>NL</v>
      </c>
      <c r="G3" s="6">
        <v>0</v>
      </c>
      <c r="H3" s="6">
        <f>_xlfn.XLOOKUP(C3,EventTypes!A:A,EventTypes!F:F,"")</f>
        <v>0</v>
      </c>
      <c r="I3" s="6">
        <v>1</v>
      </c>
      <c r="J3" s="7">
        <v>46113</v>
      </c>
      <c r="K3" s="8">
        <v>0.6875</v>
      </c>
      <c r="L3" s="8">
        <v>0.83333333333333337</v>
      </c>
    </row>
    <row r="4" spans="1:12" s="6" customFormat="1" x14ac:dyDescent="0.2">
      <c r="A4" s="6">
        <v>3</v>
      </c>
      <c r="B4" s="6" t="s">
        <v>124</v>
      </c>
      <c r="C4" s="6" t="s">
        <v>2</v>
      </c>
      <c r="D4" s="6" t="str">
        <f>_xlfn.XLOOKUP(C4,EventTypes!A:A,EventTypes!B:B,"")</f>
        <v>Basic</v>
      </c>
      <c r="E4" s="6">
        <f>_xlfn.XLOOKUP(C4,EventTypes!A:A,EventTypes!D:D,"")</f>
        <v>70</v>
      </c>
      <c r="F4" s="6" t="str">
        <f>_xlfn.XLOOKUP(C4,EventTypes!A:A,EventTypes!C:C,"")</f>
        <v>EB</v>
      </c>
      <c r="G4" s="6">
        <f>_xlfn.XLOOKUP(C4,EventTypes!A:A,EventTypes!E:E,"")</f>
        <v>1</v>
      </c>
      <c r="H4" s="6">
        <f>_xlfn.XLOOKUP(C4,EventTypes!A:A,EventTypes!F:F,"")</f>
        <v>4</v>
      </c>
      <c r="I4" s="6">
        <v>14</v>
      </c>
      <c r="J4" s="7">
        <v>46113</v>
      </c>
      <c r="K4" s="8">
        <v>0.79166666666666663</v>
      </c>
      <c r="L4" s="8">
        <v>0.9375</v>
      </c>
    </row>
    <row r="5" spans="1:12" s="6" customFormat="1" x14ac:dyDescent="0.2">
      <c r="A5" s="6">
        <v>4</v>
      </c>
      <c r="B5" s="6" t="s">
        <v>123</v>
      </c>
      <c r="C5" s="6" t="s">
        <v>6</v>
      </c>
      <c r="D5" s="6" t="str">
        <f>_xlfn.XLOOKUP(C5,EventTypes!A:A,EventTypes!B:B,"")</f>
        <v>Basic</v>
      </c>
      <c r="E5" s="6">
        <f>_xlfn.XLOOKUP(C5,EventTypes!A:A,EventTypes!D:D,"")</f>
        <v>80</v>
      </c>
      <c r="F5" s="6" t="str">
        <f>_xlfn.XLOOKUP(C5,EventTypes!A:A,EventTypes!C:C,"")</f>
        <v>NL</v>
      </c>
      <c r="G5" s="6">
        <v>0</v>
      </c>
      <c r="H5" s="6">
        <f>_xlfn.XLOOKUP(C5,EventTypes!A:A,EventTypes!F:F,"")</f>
        <v>0</v>
      </c>
      <c r="I5" s="6">
        <v>1</v>
      </c>
      <c r="J5" s="7">
        <v>46114</v>
      </c>
      <c r="K5" s="8">
        <v>0.75</v>
      </c>
      <c r="L5" s="8">
        <v>0.875</v>
      </c>
    </row>
    <row r="6" spans="1:12" s="6" customFormat="1" x14ac:dyDescent="0.2">
      <c r="A6" s="6">
        <v>5</v>
      </c>
      <c r="B6" s="6" t="s">
        <v>124</v>
      </c>
      <c r="C6" s="6" t="s">
        <v>2</v>
      </c>
      <c r="D6" s="6" t="str">
        <f>_xlfn.XLOOKUP(C6,EventTypes!A:A,EventTypes!B:B,"")</f>
        <v>Basic</v>
      </c>
      <c r="E6" s="6">
        <f>_xlfn.XLOOKUP(C6,EventTypes!A:A,EventTypes!D:D,"")</f>
        <v>70</v>
      </c>
      <c r="F6" s="6" t="str">
        <f>_xlfn.XLOOKUP(C6,EventTypes!A:A,EventTypes!C:C,"")</f>
        <v>EB</v>
      </c>
      <c r="G6" s="6">
        <f>_xlfn.XLOOKUP(C6,EventTypes!A:A,EventTypes!E:E,"")</f>
        <v>1</v>
      </c>
      <c r="H6" s="6">
        <f>_xlfn.XLOOKUP(C6,EventTypes!A:A,EventTypes!F:F,"")</f>
        <v>4</v>
      </c>
      <c r="I6" s="6">
        <v>14</v>
      </c>
      <c r="J6" s="7">
        <v>46114</v>
      </c>
      <c r="K6" s="8">
        <v>0.79166666666666663</v>
      </c>
      <c r="L6" s="8">
        <v>0.91666666666666663</v>
      </c>
    </row>
    <row r="7" spans="1:12" s="6" customFormat="1" x14ac:dyDescent="0.2">
      <c r="A7" s="6">
        <v>6</v>
      </c>
      <c r="B7" s="6" t="s">
        <v>124</v>
      </c>
      <c r="C7" s="6" t="s">
        <v>2</v>
      </c>
      <c r="D7" s="6" t="str">
        <f>_xlfn.XLOOKUP(C7,EventTypes!A:A,EventTypes!B:B,"")</f>
        <v>Basic</v>
      </c>
      <c r="E7" s="6">
        <f>_xlfn.XLOOKUP(C7,EventTypes!A:A,EventTypes!D:D,"")</f>
        <v>70</v>
      </c>
      <c r="F7" s="6" t="str">
        <f>_xlfn.XLOOKUP(C7,EventTypes!A:A,EventTypes!C:C,"")</f>
        <v>EB</v>
      </c>
      <c r="G7" s="6">
        <f>_xlfn.XLOOKUP(C7,EventTypes!A:A,EventTypes!E:E,"")</f>
        <v>1</v>
      </c>
      <c r="H7" s="6">
        <f>_xlfn.XLOOKUP(C7,EventTypes!A:A,EventTypes!F:F,"")</f>
        <v>4</v>
      </c>
      <c r="I7" s="6">
        <v>8</v>
      </c>
      <c r="J7" s="7">
        <v>46116</v>
      </c>
      <c r="K7" s="8">
        <v>0.79166666666666663</v>
      </c>
      <c r="L7" s="8">
        <v>0.95833333333333337</v>
      </c>
    </row>
    <row r="8" spans="1:12" s="6" customFormat="1" x14ac:dyDescent="0.2">
      <c r="A8" s="6">
        <v>7</v>
      </c>
      <c r="B8" s="6" t="s">
        <v>7</v>
      </c>
      <c r="C8" s="6" t="s">
        <v>7</v>
      </c>
      <c r="D8" s="6" t="str">
        <f>_xlfn.XLOOKUP(C8,EventTypes!A:A,EventTypes!B:B,"")</f>
        <v>Solo</v>
      </c>
      <c r="E8" s="6">
        <f>_xlfn.XLOOKUP(C8,EventTypes!A:A,EventTypes!D:D,"")</f>
        <v>90</v>
      </c>
      <c r="F8" s="6" t="str">
        <f>_xlfn.XLOOKUP(C8,EventTypes!A:A,EventTypes!C:C,"")</f>
        <v>BL</v>
      </c>
      <c r="G8" s="6">
        <f>_xlfn.XLOOKUP(C8,EventTypes!A:A,EventTypes!E:E,"")</f>
        <v>0</v>
      </c>
      <c r="H8" s="6">
        <f>_xlfn.XLOOKUP(C8,EventTypes!A:A,EventTypes!F:F,"")</f>
        <v>0</v>
      </c>
      <c r="I8" s="6">
        <f>_xlfn.XLOOKUP(C8,EventTypes!A:A,EventTypes!G:G,"")</f>
        <v>1</v>
      </c>
      <c r="J8" s="7">
        <v>46120</v>
      </c>
      <c r="K8" s="8">
        <v>0.79166666666666663</v>
      </c>
      <c r="L8" s="8">
        <v>0.91666666666666663</v>
      </c>
    </row>
    <row r="9" spans="1:12" s="6" customFormat="1" x14ac:dyDescent="0.2">
      <c r="A9" s="6">
        <v>8</v>
      </c>
      <c r="B9" s="6" t="s">
        <v>8</v>
      </c>
      <c r="C9" s="6" t="s">
        <v>8</v>
      </c>
      <c r="D9" s="6" t="str">
        <f>_xlfn.XLOOKUP(C9,EventTypes!A:A,EventTypes!B:B,"")</f>
        <v>Basic</v>
      </c>
      <c r="E9" s="6">
        <f>_xlfn.XLOOKUP(C9,EventTypes!A:A,EventTypes!D:D,"")</f>
        <v>50</v>
      </c>
      <c r="F9" s="6" t="str">
        <f>_xlfn.XLOOKUP(C9,EventTypes!A:A,EventTypes!C:C,"")</f>
        <v>EB</v>
      </c>
      <c r="G9" s="6">
        <f>_xlfn.XLOOKUP(C9,EventTypes!A:A,EventTypes!E:E,"")</f>
        <v>1</v>
      </c>
      <c r="H9" s="6">
        <f>_xlfn.XLOOKUP(C9,EventTypes!A:A,EventTypes!F:F,"")</f>
        <v>3</v>
      </c>
      <c r="I9" s="6">
        <f>_xlfn.XLOOKUP(C9,EventTypes!A:A,EventTypes!G:G,"")</f>
        <v>11</v>
      </c>
      <c r="J9" s="7">
        <v>46121</v>
      </c>
      <c r="K9" s="8">
        <v>0.75</v>
      </c>
      <c r="L9" s="8">
        <v>0.89583333333333337</v>
      </c>
    </row>
    <row r="10" spans="1:12" s="6" customFormat="1" x14ac:dyDescent="0.2">
      <c r="A10" s="6">
        <v>9</v>
      </c>
      <c r="B10" s="6" t="s">
        <v>8</v>
      </c>
      <c r="C10" s="6" t="s">
        <v>8</v>
      </c>
      <c r="D10" s="6" t="str">
        <f>_xlfn.XLOOKUP(C10,EventTypes!A:A,EventTypes!B:B,"")</f>
        <v>Basic</v>
      </c>
      <c r="E10" s="6">
        <f>_xlfn.XLOOKUP(C10,EventTypes!A:A,EventTypes!D:D,"")</f>
        <v>50</v>
      </c>
      <c r="F10" s="6" t="str">
        <f>_xlfn.XLOOKUP(C10,EventTypes!A:A,EventTypes!C:C,"")</f>
        <v>EB</v>
      </c>
      <c r="G10" s="6">
        <f>_xlfn.XLOOKUP(C10,EventTypes!A:A,EventTypes!E:E,"")</f>
        <v>1</v>
      </c>
      <c r="H10" s="6">
        <f>_xlfn.XLOOKUP(C10,EventTypes!A:A,EventTypes!F:F,"")</f>
        <v>3</v>
      </c>
      <c r="I10" s="6">
        <v>11</v>
      </c>
      <c r="J10" s="7">
        <v>46122</v>
      </c>
      <c r="K10" s="8">
        <v>0.75</v>
      </c>
      <c r="L10" s="8">
        <v>0.89583333333333337</v>
      </c>
    </row>
    <row r="11" spans="1:12" s="6" customFormat="1" x14ac:dyDescent="0.2">
      <c r="A11" s="6">
        <v>10</v>
      </c>
      <c r="B11" s="6" t="s">
        <v>8</v>
      </c>
      <c r="C11" s="6" t="s">
        <v>8</v>
      </c>
      <c r="D11" s="6" t="str">
        <f>_xlfn.XLOOKUP(C11,EventTypes!A:A,EventTypes!B:B,"")</f>
        <v>Basic</v>
      </c>
      <c r="E11" s="6">
        <f>_xlfn.XLOOKUP(C11,EventTypes!A:A,EventTypes!D:D,"")</f>
        <v>50</v>
      </c>
      <c r="F11" s="6" t="str">
        <f>_xlfn.XLOOKUP(C11,EventTypes!A:A,EventTypes!C:C,"")</f>
        <v>EB</v>
      </c>
      <c r="G11" s="6">
        <f>_xlfn.XLOOKUP(C11,EventTypes!A:A,EventTypes!E:E,"")</f>
        <v>1</v>
      </c>
      <c r="H11" s="6">
        <f>_xlfn.XLOOKUP(C11,EventTypes!A:A,EventTypes!F:F,"")</f>
        <v>3</v>
      </c>
      <c r="I11" s="6">
        <v>12</v>
      </c>
      <c r="J11" s="7">
        <v>46123</v>
      </c>
      <c r="K11" s="8">
        <v>0.54166666666666663</v>
      </c>
      <c r="L11" s="8">
        <v>0.70833333333333337</v>
      </c>
    </row>
    <row r="12" spans="1:12" s="6" customFormat="1" x14ac:dyDescent="0.2">
      <c r="A12" s="6">
        <v>11</v>
      </c>
      <c r="B12" s="6" t="s">
        <v>126</v>
      </c>
      <c r="C12" s="6" t="s">
        <v>17</v>
      </c>
      <c r="D12" s="6" t="str">
        <f>_xlfn.XLOOKUP(C12,EventTypes!A:A,EventTypes!B:B,"")</f>
        <v>Party</v>
      </c>
      <c r="E12" s="6">
        <f>_xlfn.XLOOKUP(C12,EventTypes!A:A,EventTypes!D:D,"")</f>
        <v>60</v>
      </c>
      <c r="F12" s="6" t="str">
        <f>_xlfn.XLOOKUP(C12,EventTypes!A:A,EventTypes!C:C,"")</f>
        <v>NL</v>
      </c>
      <c r="G12" s="6">
        <v>0</v>
      </c>
      <c r="H12" s="6">
        <f>_xlfn.XLOOKUP(C12,EventTypes!A:A,EventTypes!F:F,"")</f>
        <v>1</v>
      </c>
      <c r="I12" s="6">
        <v>2</v>
      </c>
      <c r="J12" s="7">
        <v>46123</v>
      </c>
      <c r="K12" s="8">
        <v>0.83333333333333337</v>
      </c>
      <c r="L12" s="8">
        <v>4.1666666666666664E-2</v>
      </c>
    </row>
    <row r="13" spans="1:12" s="6" customFormat="1" x14ac:dyDescent="0.2">
      <c r="A13" s="6">
        <v>12</v>
      </c>
      <c r="B13" s="6" t="s">
        <v>125</v>
      </c>
      <c r="C13" s="6" t="s">
        <v>3</v>
      </c>
      <c r="D13" s="6" t="str">
        <f>_xlfn.XLOOKUP(C13,EventTypes!A:A,EventTypes!B:B,"")</f>
        <v>Basic</v>
      </c>
      <c r="E13" s="6">
        <f>_xlfn.XLOOKUP(C13,EventTypes!A:A,EventTypes!D:D,"")</f>
        <v>40</v>
      </c>
      <c r="F13" s="6" t="str">
        <f>_xlfn.XLOOKUP(C13,EventTypes!A:A,EventTypes!C:C,"")</f>
        <v>KL</v>
      </c>
      <c r="G13" s="6">
        <f>_xlfn.XLOOKUP(C13,EventTypes!A:A,EventTypes!E:E,"")</f>
        <v>0</v>
      </c>
      <c r="H13" s="6">
        <f>_xlfn.XLOOKUP(C13,EventTypes!A:A,EventTypes!F:F,"")</f>
        <v>1</v>
      </c>
      <c r="I13" s="6">
        <v>1</v>
      </c>
      <c r="J13" s="7">
        <v>46124</v>
      </c>
      <c r="K13" s="8">
        <v>0.54166666666666663</v>
      </c>
      <c r="L13" s="8">
        <v>0.70833333333333337</v>
      </c>
    </row>
    <row r="14" spans="1:12" s="6" customFormat="1" x14ac:dyDescent="0.2">
      <c r="A14" s="6">
        <v>13</v>
      </c>
      <c r="B14" s="6" t="s">
        <v>8</v>
      </c>
      <c r="C14" s="6" t="s">
        <v>6</v>
      </c>
      <c r="D14" s="6" t="str">
        <f>_xlfn.XLOOKUP(C14,EventTypes!A:A,EventTypes!B:B,"")</f>
        <v>Basic</v>
      </c>
      <c r="E14" s="6">
        <f>_xlfn.XLOOKUP(C14,EventTypes!A:A,EventTypes!D:D,"")</f>
        <v>80</v>
      </c>
      <c r="F14" s="6" t="str">
        <f>_xlfn.XLOOKUP(C14,EventTypes!A:A,EventTypes!C:C,"")</f>
        <v>NL</v>
      </c>
      <c r="G14" s="6">
        <v>0</v>
      </c>
      <c r="H14" s="6">
        <f>_xlfn.XLOOKUP(C14,EventTypes!A:A,EventTypes!F:F,"")</f>
        <v>0</v>
      </c>
      <c r="I14" s="6">
        <v>1</v>
      </c>
      <c r="J14" s="7">
        <v>46124</v>
      </c>
      <c r="K14" s="8">
        <v>0.625</v>
      </c>
      <c r="L14" s="8">
        <v>0.79166666666666663</v>
      </c>
    </row>
    <row r="15" spans="1:12" s="6" customFormat="1" x14ac:dyDescent="0.2">
      <c r="A15" s="6">
        <v>14</v>
      </c>
      <c r="B15" s="6" t="s">
        <v>66</v>
      </c>
      <c r="C15" s="6" t="s">
        <v>3</v>
      </c>
      <c r="D15" s="6" t="str">
        <f>_xlfn.XLOOKUP(C15,EventTypes!A:A,EventTypes!B:B,"")</f>
        <v>Basic</v>
      </c>
      <c r="E15" s="6">
        <f>_xlfn.XLOOKUP(C15,EventTypes!A:A,EventTypes!D:D,"")</f>
        <v>40</v>
      </c>
      <c r="F15" s="6" t="str">
        <f>_xlfn.XLOOKUP(C15,EventTypes!A:A,EventTypes!C:C,"")</f>
        <v>KL</v>
      </c>
      <c r="G15" s="6">
        <f>_xlfn.XLOOKUP(C15,EventTypes!A:A,EventTypes!E:E,"")</f>
        <v>0</v>
      </c>
      <c r="H15" s="6">
        <f>_xlfn.XLOOKUP(C15,EventTypes!A:A,EventTypes!F:F,"")</f>
        <v>1</v>
      </c>
      <c r="I15" s="6">
        <v>1</v>
      </c>
      <c r="J15" s="7">
        <v>46126</v>
      </c>
      <c r="K15" s="8">
        <v>0.79166666666666663</v>
      </c>
      <c r="L15" s="8">
        <v>0.91666666666666663</v>
      </c>
    </row>
    <row r="16" spans="1:12" s="6" customFormat="1" x14ac:dyDescent="0.2">
      <c r="A16" s="6">
        <v>15</v>
      </c>
      <c r="B16" s="6" t="s">
        <v>7</v>
      </c>
      <c r="C16" s="6" t="s">
        <v>7</v>
      </c>
      <c r="D16" s="6" t="str">
        <f>_xlfn.XLOOKUP(C16,EventTypes!A:A,EventTypes!B:B,"")</f>
        <v>Solo</v>
      </c>
      <c r="E16" s="6">
        <f>_xlfn.XLOOKUP(C16,EventTypes!A:A,EventTypes!D:D,"")</f>
        <v>90</v>
      </c>
      <c r="F16" s="6" t="str">
        <f>_xlfn.XLOOKUP(C16,EventTypes!A:A,EventTypes!C:C,"")</f>
        <v>BL</v>
      </c>
      <c r="G16" s="6">
        <f>_xlfn.XLOOKUP(C16,EventTypes!A:A,EventTypes!E:E,"")</f>
        <v>0</v>
      </c>
      <c r="H16" s="6">
        <f>_xlfn.XLOOKUP(C16,EventTypes!A:A,EventTypes!F:F,"")</f>
        <v>0</v>
      </c>
      <c r="I16" s="6">
        <f>_xlfn.XLOOKUP(C16,EventTypes!A:A,EventTypes!G:G,"")</f>
        <v>1</v>
      </c>
      <c r="J16" s="7">
        <v>46127</v>
      </c>
      <c r="K16" s="8">
        <v>0.79166666666666663</v>
      </c>
      <c r="L16" s="8">
        <v>0.91666666666666663</v>
      </c>
    </row>
    <row r="17" spans="1:12" s="6" customFormat="1" x14ac:dyDescent="0.2">
      <c r="A17" s="6">
        <v>16</v>
      </c>
      <c r="B17" s="6" t="s">
        <v>127</v>
      </c>
      <c r="C17" s="6" t="s">
        <v>6</v>
      </c>
      <c r="D17" s="6" t="str">
        <f>_xlfn.XLOOKUP(C17,EventTypes!A:A,EventTypes!B:B,"")</f>
        <v>Basic</v>
      </c>
      <c r="E17" s="6">
        <f>_xlfn.XLOOKUP(C17,EventTypes!A:A,EventTypes!D:D,"")</f>
        <v>80</v>
      </c>
      <c r="F17" s="6" t="str">
        <f>_xlfn.XLOOKUP(C17,EventTypes!A:A,EventTypes!C:C,"")</f>
        <v>NL</v>
      </c>
      <c r="G17" s="6">
        <f>_xlfn.XLOOKUP(C17,EventTypes!A:A,EventTypes!E:E,"")</f>
        <v>1</v>
      </c>
      <c r="H17" s="6">
        <f>_xlfn.XLOOKUP(C17,EventTypes!A:A,EventTypes!F:F,"")</f>
        <v>0</v>
      </c>
      <c r="I17" s="6">
        <v>3</v>
      </c>
      <c r="J17" s="7">
        <v>46127</v>
      </c>
      <c r="K17" s="8">
        <v>0.79166666666666663</v>
      </c>
      <c r="L17" s="8">
        <v>0.91666666666666663</v>
      </c>
    </row>
    <row r="18" spans="1:12" s="6" customFormat="1" x14ac:dyDescent="0.2">
      <c r="A18" s="6">
        <v>17</v>
      </c>
      <c r="B18" s="6" t="s">
        <v>8</v>
      </c>
      <c r="C18" s="6" t="s">
        <v>8</v>
      </c>
      <c r="D18" s="6" t="str">
        <f>_xlfn.XLOOKUP(C18,EventTypes!A:A,EventTypes!B:B,"")</f>
        <v>Basic</v>
      </c>
      <c r="E18" s="6">
        <f>_xlfn.XLOOKUP(C18,EventTypes!A:A,EventTypes!D:D,"")</f>
        <v>50</v>
      </c>
      <c r="F18" s="6" t="str">
        <f>_xlfn.XLOOKUP(C18,EventTypes!A:A,EventTypes!C:C,"")</f>
        <v>EB</v>
      </c>
      <c r="G18" s="6">
        <f>_xlfn.XLOOKUP(C18,EventTypes!A:A,EventTypes!E:E,"")</f>
        <v>1</v>
      </c>
      <c r="H18" s="6">
        <f>_xlfn.XLOOKUP(C18,EventTypes!A:A,EventTypes!F:F,"")</f>
        <v>3</v>
      </c>
      <c r="I18" s="6">
        <f>_xlfn.XLOOKUP(C18,EventTypes!A:A,EventTypes!G:G,"")</f>
        <v>11</v>
      </c>
      <c r="J18" s="7">
        <v>46128</v>
      </c>
      <c r="K18" s="8">
        <v>0.77083333333333337</v>
      </c>
      <c r="L18" s="8">
        <v>0.89583333333333337</v>
      </c>
    </row>
    <row r="19" spans="1:12" s="6" customFormat="1" x14ac:dyDescent="0.2">
      <c r="A19" s="6">
        <v>18</v>
      </c>
      <c r="B19" s="6" t="s">
        <v>128</v>
      </c>
      <c r="C19" s="6" t="s">
        <v>6</v>
      </c>
      <c r="D19" s="6" t="str">
        <f>_xlfn.XLOOKUP(C19,EventTypes!A:A,EventTypes!B:B,"")</f>
        <v>Basic</v>
      </c>
      <c r="E19" s="6">
        <f>_xlfn.XLOOKUP(C19,EventTypes!A:A,EventTypes!D:D,"")</f>
        <v>80</v>
      </c>
      <c r="F19" s="6" t="str">
        <f>_xlfn.XLOOKUP(C19,EventTypes!A:A,EventTypes!C:C,"")</f>
        <v>NL</v>
      </c>
      <c r="G19" s="6">
        <v>0</v>
      </c>
      <c r="H19" s="6">
        <f>_xlfn.XLOOKUP(C19,EventTypes!A:A,EventTypes!F:F,"")</f>
        <v>0</v>
      </c>
      <c r="I19" s="6">
        <v>1</v>
      </c>
      <c r="J19" s="7">
        <v>46128</v>
      </c>
      <c r="K19" s="8">
        <v>0.6875</v>
      </c>
      <c r="L19" s="8">
        <v>0.875</v>
      </c>
    </row>
    <row r="20" spans="1:12" s="6" customFormat="1" x14ac:dyDescent="0.2">
      <c r="A20" s="6">
        <v>19</v>
      </c>
      <c r="B20" s="6" t="s">
        <v>128</v>
      </c>
      <c r="C20" s="6" t="s">
        <v>6</v>
      </c>
      <c r="D20" s="6" t="str">
        <f>_xlfn.XLOOKUP(C20,EventTypes!A:A,EventTypes!B:B,"")</f>
        <v>Basic</v>
      </c>
      <c r="E20" s="6">
        <f>_xlfn.XLOOKUP(C20,EventTypes!A:A,EventTypes!D:D,"")</f>
        <v>80</v>
      </c>
      <c r="F20" s="6" t="str">
        <f>_xlfn.XLOOKUP(C20,EventTypes!A:A,EventTypes!C:C,"")</f>
        <v>NL</v>
      </c>
      <c r="G20" s="6">
        <v>0</v>
      </c>
      <c r="H20" s="6">
        <f>_xlfn.XLOOKUP(C20,EventTypes!A:A,EventTypes!F:F,"")</f>
        <v>0</v>
      </c>
      <c r="I20" s="6">
        <v>1</v>
      </c>
      <c r="J20" s="7">
        <v>46129</v>
      </c>
      <c r="K20" s="8">
        <v>0.66666666666666663</v>
      </c>
      <c r="L20" s="8">
        <v>0.875</v>
      </c>
    </row>
    <row r="21" spans="1:12" s="6" customFormat="1" x14ac:dyDescent="0.2">
      <c r="A21" s="6">
        <v>20</v>
      </c>
      <c r="B21" s="6" t="s">
        <v>128</v>
      </c>
      <c r="C21" s="6" t="s">
        <v>6</v>
      </c>
      <c r="D21" s="6" t="str">
        <f>_xlfn.XLOOKUP(C21,EventTypes!A:A,EventTypes!B:B,"")</f>
        <v>Basic</v>
      </c>
      <c r="E21" s="6">
        <f>_xlfn.XLOOKUP(C21,EventTypes!A:A,EventTypes!D:D,"")</f>
        <v>80</v>
      </c>
      <c r="F21" s="6" t="str">
        <f>_xlfn.XLOOKUP(C21,EventTypes!A:A,EventTypes!C:C,"")</f>
        <v>NL</v>
      </c>
      <c r="G21" s="6">
        <v>0</v>
      </c>
      <c r="H21" s="6">
        <f>_xlfn.XLOOKUP(C21,EventTypes!A:A,EventTypes!F:F,"")</f>
        <v>0</v>
      </c>
      <c r="I21" s="6">
        <v>1</v>
      </c>
      <c r="J21" s="7">
        <v>46130</v>
      </c>
      <c r="K21" s="8">
        <v>0.41666666666666669</v>
      </c>
      <c r="L21" s="8">
        <v>0.625</v>
      </c>
    </row>
    <row r="22" spans="1:12" s="6" customFormat="1" x14ac:dyDescent="0.2">
      <c r="A22" s="6">
        <v>21</v>
      </c>
      <c r="B22" s="6" t="s">
        <v>128</v>
      </c>
      <c r="C22" s="6" t="s">
        <v>6</v>
      </c>
      <c r="D22" s="6" t="str">
        <f>_xlfn.XLOOKUP(C22,EventTypes!A:A,EventTypes!B:B,"")</f>
        <v>Basic</v>
      </c>
      <c r="E22" s="6">
        <f>_xlfn.XLOOKUP(C22,EventTypes!A:A,EventTypes!D:D,"")</f>
        <v>80</v>
      </c>
      <c r="F22" s="6" t="str">
        <f>_xlfn.XLOOKUP(C22,EventTypes!A:A,EventTypes!C:C,"")</f>
        <v>NL</v>
      </c>
      <c r="G22" s="6">
        <v>0</v>
      </c>
      <c r="H22" s="6">
        <f>_xlfn.XLOOKUP(C22,EventTypes!A:A,EventTypes!F:F,"")</f>
        <v>0</v>
      </c>
      <c r="I22" s="6">
        <v>1</v>
      </c>
      <c r="J22" s="7">
        <v>46130</v>
      </c>
      <c r="K22" s="8">
        <v>0.625</v>
      </c>
      <c r="L22" s="9">
        <v>0.875</v>
      </c>
    </row>
    <row r="23" spans="1:12" s="6" customFormat="1" x14ac:dyDescent="0.2">
      <c r="A23" s="6">
        <v>22</v>
      </c>
      <c r="B23" s="6" t="s">
        <v>128</v>
      </c>
      <c r="C23" s="6" t="s">
        <v>3</v>
      </c>
      <c r="D23" s="6" t="str">
        <f>_xlfn.XLOOKUP(C23,EventTypes!A:A,EventTypes!B:B,"")</f>
        <v>Basic</v>
      </c>
      <c r="E23" s="6">
        <f>_xlfn.XLOOKUP(C23,EventTypes!A:A,EventTypes!D:D,"")</f>
        <v>40</v>
      </c>
      <c r="F23" s="6" t="str">
        <f>_xlfn.XLOOKUP(C23,EventTypes!A:A,EventTypes!C:C,"")</f>
        <v>KL</v>
      </c>
      <c r="G23" s="6">
        <v>0</v>
      </c>
      <c r="H23" s="6">
        <f>_xlfn.XLOOKUP(C23,EventTypes!A:A,EventTypes!F:F,"")</f>
        <v>1</v>
      </c>
      <c r="I23" s="6">
        <v>1</v>
      </c>
      <c r="J23" s="7">
        <v>46128</v>
      </c>
      <c r="K23" s="8">
        <v>0.66666666666666663</v>
      </c>
      <c r="L23" s="8">
        <v>0.91666666666666663</v>
      </c>
    </row>
    <row r="24" spans="1:12" s="6" customFormat="1" x14ac:dyDescent="0.2">
      <c r="A24" s="6">
        <v>23</v>
      </c>
      <c r="B24" s="6" t="s">
        <v>128</v>
      </c>
      <c r="C24" s="6" t="s">
        <v>3</v>
      </c>
      <c r="D24" s="6" t="str">
        <f>_xlfn.XLOOKUP(C24,EventTypes!A:A,EventTypes!B:B,"")</f>
        <v>Basic</v>
      </c>
      <c r="E24" s="6">
        <f>_xlfn.XLOOKUP(C24,EventTypes!A:A,EventTypes!D:D,"")</f>
        <v>40</v>
      </c>
      <c r="F24" s="6" t="str">
        <f>_xlfn.XLOOKUP(C24,EventTypes!A:A,EventTypes!C:C,"")</f>
        <v>KL</v>
      </c>
      <c r="G24" s="6">
        <f>_xlfn.XLOOKUP(C24,EventTypes!A:A,EventTypes!E:E,"")</f>
        <v>0</v>
      </c>
      <c r="H24" s="6">
        <f>_xlfn.XLOOKUP(C24,EventTypes!A:A,EventTypes!F:F,"")</f>
        <v>1</v>
      </c>
      <c r="I24" s="6">
        <v>1</v>
      </c>
      <c r="J24" s="7">
        <v>46129</v>
      </c>
      <c r="K24" s="8">
        <v>0.66666666666666663</v>
      </c>
      <c r="L24" s="8">
        <v>0.91666666666666663</v>
      </c>
    </row>
    <row r="25" spans="1:12" s="6" customFormat="1" x14ac:dyDescent="0.2">
      <c r="A25" s="6">
        <v>24</v>
      </c>
      <c r="B25" s="6" t="s">
        <v>128</v>
      </c>
      <c r="C25" s="6" t="s">
        <v>3</v>
      </c>
      <c r="D25" s="6" t="str">
        <f>_xlfn.XLOOKUP(C25,EventTypes!A:A,EventTypes!B:B,"")</f>
        <v>Basic</v>
      </c>
      <c r="E25" s="6">
        <f>_xlfn.XLOOKUP(C25,EventTypes!A:A,EventTypes!D:D,"")</f>
        <v>40</v>
      </c>
      <c r="F25" s="6" t="str">
        <f>_xlfn.XLOOKUP(C25,EventTypes!A:A,EventTypes!C:C,"")</f>
        <v>KL</v>
      </c>
      <c r="G25" s="6">
        <f>_xlfn.XLOOKUP(C25,EventTypes!A:A,EventTypes!E:E,"")</f>
        <v>0</v>
      </c>
      <c r="H25" s="6">
        <f>_xlfn.XLOOKUP(C25,EventTypes!A:A,EventTypes!F:F,"")</f>
        <v>1</v>
      </c>
      <c r="I25" s="6">
        <v>1</v>
      </c>
      <c r="J25" s="7">
        <v>46130</v>
      </c>
      <c r="K25" s="8">
        <v>0.41666666666666669</v>
      </c>
      <c r="L25" s="8">
        <v>0.66666666666666663</v>
      </c>
    </row>
    <row r="26" spans="1:12" s="6" customFormat="1" x14ac:dyDescent="0.2">
      <c r="A26" s="6">
        <v>25</v>
      </c>
      <c r="B26" s="6" t="s">
        <v>128</v>
      </c>
      <c r="C26" s="6" t="s">
        <v>3</v>
      </c>
      <c r="D26" s="6" t="str">
        <f>_xlfn.XLOOKUP(C26,EventTypes!A:A,EventTypes!B:B,"")</f>
        <v>Basic</v>
      </c>
      <c r="E26" s="6">
        <f>_xlfn.XLOOKUP(C26,EventTypes!A:A,EventTypes!D:D,"")</f>
        <v>40</v>
      </c>
      <c r="F26" s="6" t="str">
        <f>_xlfn.XLOOKUP(C26,EventTypes!A:A,EventTypes!C:C,"")</f>
        <v>KL</v>
      </c>
      <c r="G26" s="6">
        <f>_xlfn.XLOOKUP(C26,EventTypes!A:A,EventTypes!E:E,"")</f>
        <v>0</v>
      </c>
      <c r="H26" s="6">
        <f>_xlfn.XLOOKUP(C26,EventTypes!A:A,EventTypes!F:F,"")</f>
        <v>1</v>
      </c>
      <c r="I26" s="6">
        <v>1</v>
      </c>
      <c r="J26" s="7">
        <v>46130</v>
      </c>
      <c r="K26" s="8">
        <v>0.66666666666666663</v>
      </c>
      <c r="L26" s="8">
        <v>0.91666666666666663</v>
      </c>
    </row>
    <row r="27" spans="1:12" s="6" customFormat="1" x14ac:dyDescent="0.2">
      <c r="A27" s="6">
        <v>26</v>
      </c>
      <c r="B27" s="6" t="s">
        <v>129</v>
      </c>
      <c r="C27" s="6" t="s">
        <v>2</v>
      </c>
      <c r="D27" s="6" t="str">
        <f>_xlfn.XLOOKUP(C27,EventTypes!A:A,EventTypes!B:B,"")</f>
        <v>Basic</v>
      </c>
      <c r="E27" s="6">
        <f>_xlfn.XLOOKUP(C27,EventTypes!A:A,EventTypes!D:D,"")</f>
        <v>70</v>
      </c>
      <c r="F27" s="6" t="str">
        <f>_xlfn.XLOOKUP(C27,EventTypes!A:A,EventTypes!C:C,"")</f>
        <v>EB</v>
      </c>
      <c r="G27" s="6">
        <f>_xlfn.XLOOKUP(C27,EventTypes!A:A,EventTypes!E:E,"")</f>
        <v>1</v>
      </c>
      <c r="H27" s="6">
        <f>_xlfn.XLOOKUP(C27,EventTypes!A:A,EventTypes!F:F,"")</f>
        <v>4</v>
      </c>
      <c r="I27" s="6">
        <v>6</v>
      </c>
      <c r="J27" s="7">
        <v>46129</v>
      </c>
      <c r="K27" s="8">
        <v>0.79166666666666663</v>
      </c>
      <c r="L27" s="8">
        <v>0</v>
      </c>
    </row>
    <row r="28" spans="1:12" s="6" customFormat="1" x14ac:dyDescent="0.2">
      <c r="A28" s="6">
        <v>27</v>
      </c>
      <c r="B28" s="6" t="s">
        <v>130</v>
      </c>
      <c r="C28" s="6" t="s">
        <v>2</v>
      </c>
      <c r="D28" s="6" t="str">
        <f>_xlfn.XLOOKUP(C28,EventTypes!A:A,EventTypes!B:B,"")</f>
        <v>Basic</v>
      </c>
      <c r="E28" s="6">
        <f>_xlfn.XLOOKUP(C28,EventTypes!A:A,EventTypes!D:D,"")</f>
        <v>70</v>
      </c>
      <c r="F28" s="6" t="str">
        <f>_xlfn.XLOOKUP(C28,EventTypes!A:A,EventTypes!C:C,"")</f>
        <v>EB</v>
      </c>
      <c r="G28" s="6">
        <f>_xlfn.XLOOKUP(C28,EventTypes!A:A,EventTypes!E:E,"")</f>
        <v>1</v>
      </c>
      <c r="H28" s="6">
        <f>_xlfn.XLOOKUP(C28,EventTypes!A:A,EventTypes!F:F,"")</f>
        <v>4</v>
      </c>
      <c r="I28" s="6">
        <v>10</v>
      </c>
      <c r="J28" s="7">
        <v>46130</v>
      </c>
      <c r="K28" s="8">
        <v>0.47916666666666669</v>
      </c>
      <c r="L28" s="8">
        <v>0.70833333333333337</v>
      </c>
    </row>
    <row r="29" spans="1:12" s="6" customFormat="1" x14ac:dyDescent="0.2">
      <c r="A29" s="6">
        <v>28</v>
      </c>
      <c r="B29" s="6" t="s">
        <v>131</v>
      </c>
      <c r="C29" s="6" t="s">
        <v>6</v>
      </c>
      <c r="D29" s="6" t="str">
        <f>_xlfn.XLOOKUP(C29,EventTypes!A:A,EventTypes!B:B,"")</f>
        <v>Basic</v>
      </c>
      <c r="E29" s="6">
        <f>_xlfn.XLOOKUP(C29,EventTypes!A:A,EventTypes!D:D,"")</f>
        <v>80</v>
      </c>
      <c r="F29" s="6" t="str">
        <f>_xlfn.XLOOKUP(C29,EventTypes!A:A,EventTypes!C:C,"")</f>
        <v>NL</v>
      </c>
      <c r="G29" s="6">
        <v>0</v>
      </c>
      <c r="H29" s="6">
        <f>_xlfn.XLOOKUP(C29,EventTypes!A:A,EventTypes!F:F,"")</f>
        <v>0</v>
      </c>
      <c r="I29" s="6">
        <v>2</v>
      </c>
      <c r="J29" s="7">
        <v>46131</v>
      </c>
      <c r="K29" s="8">
        <v>0.625</v>
      </c>
      <c r="L29" s="8">
        <v>0.79166666666666663</v>
      </c>
    </row>
    <row r="30" spans="1:12" s="6" customFormat="1" ht="18" customHeight="1" x14ac:dyDescent="0.2">
      <c r="A30" s="6">
        <v>29</v>
      </c>
      <c r="B30" s="6" t="s">
        <v>132</v>
      </c>
      <c r="C30" s="6" t="s">
        <v>2</v>
      </c>
      <c r="D30" s="6" t="str">
        <f>_xlfn.XLOOKUP(C30,EventTypes!A:A,EventTypes!B:B,"")</f>
        <v>Basic</v>
      </c>
      <c r="E30" s="6">
        <f>_xlfn.XLOOKUP(C30,EventTypes!A:A,EventTypes!D:D,"")</f>
        <v>70</v>
      </c>
      <c r="F30" s="6" t="str">
        <f>_xlfn.XLOOKUP(C30,EventTypes!A:A,EventTypes!C:C,"")</f>
        <v>EB</v>
      </c>
      <c r="G30" s="6">
        <f>_xlfn.XLOOKUP(C30,EventTypes!A:A,EventTypes!E:E,"")</f>
        <v>1</v>
      </c>
      <c r="H30" s="6">
        <f>_xlfn.XLOOKUP(C30,EventTypes!A:A,EventTypes!F:F,"")</f>
        <v>4</v>
      </c>
      <c r="I30" s="6">
        <v>12</v>
      </c>
      <c r="J30" s="7">
        <v>46131</v>
      </c>
      <c r="K30" s="8">
        <v>0.58333333333333337</v>
      </c>
      <c r="L30" s="8">
        <v>0.75</v>
      </c>
    </row>
    <row r="31" spans="1:12" s="6" customFormat="1" ht="16" customHeight="1" x14ac:dyDescent="0.2">
      <c r="A31" s="6">
        <v>30</v>
      </c>
      <c r="B31" s="6" t="s">
        <v>133</v>
      </c>
      <c r="C31" s="6" t="s">
        <v>15</v>
      </c>
      <c r="D31" s="6" t="str">
        <f>_xlfn.XLOOKUP(C31,EventTypes!A:A,EventTypes!B:B,"")</f>
        <v>Barna</v>
      </c>
      <c r="E31" s="6">
        <f>_xlfn.XLOOKUP(C31,EventTypes!A:A,EventTypes!D:D,"")</f>
        <v>70</v>
      </c>
      <c r="F31" s="6" t="str">
        <f>_xlfn.XLOOKUP(C31,EventTypes!A:A,EventTypes!C:C,"")</f>
        <v>EB</v>
      </c>
      <c r="G31" s="6">
        <f>_xlfn.XLOOKUP(C31,EventTypes!A:A,EventTypes!E:E,"")</f>
        <v>1</v>
      </c>
      <c r="H31" s="6">
        <f>_xlfn.XLOOKUP(C31,EventTypes!A:A,EventTypes!F:F,"")</f>
        <v>2</v>
      </c>
      <c r="I31" s="6">
        <v>5</v>
      </c>
      <c r="J31" s="7">
        <v>46133</v>
      </c>
      <c r="K31" s="8">
        <v>0.6875</v>
      </c>
      <c r="L31" s="8">
        <v>0.83333333333333337</v>
      </c>
    </row>
    <row r="32" spans="1:12" s="6" customFormat="1" ht="16" customHeight="1" x14ac:dyDescent="0.2">
      <c r="A32" s="6">
        <v>32</v>
      </c>
      <c r="B32" s="6" t="s">
        <v>134</v>
      </c>
      <c r="C32" s="6" t="s">
        <v>6</v>
      </c>
      <c r="D32" s="6" t="str">
        <f>_xlfn.XLOOKUP(C32,EventTypes!A:A,EventTypes!B:B,"")</f>
        <v>Basic</v>
      </c>
      <c r="E32" s="6">
        <f>_xlfn.XLOOKUP(C32,EventTypes!A:A,EventTypes!D:D,"")</f>
        <v>80</v>
      </c>
      <c r="F32" s="6" t="str">
        <f>_xlfn.XLOOKUP(C32,EventTypes!A:A,EventTypes!C:C,"")</f>
        <v>NL</v>
      </c>
      <c r="G32" s="6">
        <v>0</v>
      </c>
      <c r="H32" s="6">
        <f>_xlfn.XLOOKUP(C32,EventTypes!A:A,EventTypes!F:F,"")</f>
        <v>0</v>
      </c>
      <c r="I32" s="6">
        <v>1</v>
      </c>
      <c r="J32" s="7">
        <v>46134</v>
      </c>
      <c r="K32" s="8">
        <v>0.66666666666666663</v>
      </c>
      <c r="L32" s="8">
        <v>0.83333333333333337</v>
      </c>
    </row>
    <row r="33" spans="1:12" s="6" customFormat="1" x14ac:dyDescent="0.2">
      <c r="A33" s="6">
        <v>33</v>
      </c>
      <c r="B33" s="6" t="s">
        <v>136</v>
      </c>
      <c r="C33" s="6" t="s">
        <v>6</v>
      </c>
      <c r="D33" s="6" t="str">
        <f>_xlfn.XLOOKUP(C33,EventTypes!A:A,EventTypes!B:B,"")</f>
        <v>Basic</v>
      </c>
      <c r="E33" s="6">
        <f>_xlfn.XLOOKUP(C33,EventTypes!A:A,EventTypes!D:D,"")</f>
        <v>80</v>
      </c>
      <c r="F33" s="6" t="str">
        <f>_xlfn.XLOOKUP(C33,EventTypes!A:A,EventTypes!C:C,"")</f>
        <v>NL</v>
      </c>
      <c r="G33" s="6">
        <v>0</v>
      </c>
      <c r="H33" s="6">
        <f>_xlfn.XLOOKUP(C33,EventTypes!A:A,EventTypes!F:F,"")</f>
        <v>0</v>
      </c>
      <c r="I33" s="6">
        <v>2</v>
      </c>
      <c r="J33" s="7">
        <v>46137</v>
      </c>
      <c r="K33" s="8">
        <v>0.79166666666666663</v>
      </c>
      <c r="L33" s="8">
        <v>0.95833333333333337</v>
      </c>
    </row>
    <row r="34" spans="1:12" s="6" customFormat="1" x14ac:dyDescent="0.2">
      <c r="A34" s="6">
        <v>34</v>
      </c>
      <c r="B34" s="6" t="s">
        <v>137</v>
      </c>
      <c r="C34" s="6" t="s">
        <v>6</v>
      </c>
      <c r="D34" s="6" t="str">
        <f>_xlfn.XLOOKUP(C34,EventTypes!A:A,EventTypes!B:B,"")</f>
        <v>Basic</v>
      </c>
      <c r="E34" s="6">
        <f>_xlfn.XLOOKUP(C34,EventTypes!A:A,EventTypes!D:D,"")</f>
        <v>80</v>
      </c>
      <c r="F34" s="6" t="str">
        <f>_xlfn.XLOOKUP(C34,EventTypes!A:A,EventTypes!C:C,"")</f>
        <v>NL</v>
      </c>
      <c r="G34" s="6">
        <v>0</v>
      </c>
      <c r="H34" s="6">
        <f>_xlfn.XLOOKUP(C34,EventTypes!A:A,EventTypes!F:F,"")</f>
        <v>0</v>
      </c>
      <c r="I34" s="6">
        <v>2</v>
      </c>
      <c r="J34" s="7">
        <v>46141</v>
      </c>
      <c r="K34" s="8">
        <v>0.79166666666666663</v>
      </c>
      <c r="L34" s="8">
        <v>0.91666666666666663</v>
      </c>
    </row>
    <row r="35" spans="1:12" s="6" customFormat="1" x14ac:dyDescent="0.2">
      <c r="A35" s="6">
        <v>35</v>
      </c>
      <c r="B35" s="6" t="s">
        <v>137</v>
      </c>
      <c r="C35" s="6" t="s">
        <v>6</v>
      </c>
      <c r="D35" s="6" t="str">
        <f>_xlfn.XLOOKUP(C35,EventTypes!A:A,EventTypes!B:B,"")</f>
        <v>Basic</v>
      </c>
      <c r="E35" s="6">
        <f>_xlfn.XLOOKUP(C35,EventTypes!A:A,EventTypes!D:D,"")</f>
        <v>80</v>
      </c>
      <c r="F35" s="6" t="str">
        <f>_xlfn.XLOOKUP(C35,EventTypes!A:A,EventTypes!C:C,"")</f>
        <v>NL</v>
      </c>
      <c r="G35" s="6">
        <v>0</v>
      </c>
      <c r="H35" s="6">
        <f>_xlfn.XLOOKUP(C35,EventTypes!A:A,EventTypes!F:F,"")</f>
        <v>0</v>
      </c>
      <c r="I35" s="6">
        <v>2</v>
      </c>
      <c r="J35" s="7">
        <v>46142</v>
      </c>
      <c r="K35" s="8">
        <v>0.79166666666666663</v>
      </c>
      <c r="L35" s="8">
        <v>0.91666666666666663</v>
      </c>
    </row>
    <row r="36" spans="1:12" s="6" customFormat="1" x14ac:dyDescent="0.2">
      <c r="A36" s="6">
        <v>36</v>
      </c>
      <c r="B36" s="6" t="s">
        <v>135</v>
      </c>
      <c r="C36" s="6" t="s">
        <v>3</v>
      </c>
      <c r="D36" s="6" t="str">
        <f>_xlfn.XLOOKUP(C36,EventTypes!A:A,EventTypes!B:B,"")</f>
        <v>Basic</v>
      </c>
      <c r="E36" s="6">
        <f>_xlfn.XLOOKUP(C36,EventTypes!A:A,EventTypes!D:D,"")</f>
        <v>40</v>
      </c>
      <c r="F36" s="6" t="str">
        <f>_xlfn.XLOOKUP(C36,EventTypes!A:A,EventTypes!C:C,"")</f>
        <v>KL</v>
      </c>
      <c r="G36" s="6">
        <f>_xlfn.XLOOKUP(C36,EventTypes!A:A,EventTypes!E:E,"")</f>
        <v>0</v>
      </c>
      <c r="H36" s="6">
        <f>_xlfn.XLOOKUP(C36,EventTypes!A:A,EventTypes!F:F,"")</f>
        <v>1</v>
      </c>
      <c r="I36" s="6">
        <v>1</v>
      </c>
      <c r="J36" s="7">
        <v>46134</v>
      </c>
      <c r="K36" s="8">
        <v>0.79166666666666663</v>
      </c>
      <c r="L36" s="8">
        <v>0.91666666666666663</v>
      </c>
    </row>
    <row r="37" spans="1:12" s="6" customFormat="1" x14ac:dyDescent="0.2">
      <c r="A37" s="6">
        <v>37</v>
      </c>
      <c r="B37" s="6" t="s">
        <v>138</v>
      </c>
      <c r="C37" s="6" t="s">
        <v>9</v>
      </c>
      <c r="D37" s="6" t="str">
        <f>_xlfn.XLOOKUP(C37,EventTypes!A:A,EventTypes!B:B,"")</f>
        <v>Solo</v>
      </c>
      <c r="E37" s="6">
        <f>_xlfn.XLOOKUP(C37,EventTypes!A:A,EventTypes!D:D,"")</f>
        <v>100</v>
      </c>
      <c r="F37" s="6" t="str">
        <f>_xlfn.XLOOKUP(C37,EventTypes!A:A,EventTypes!C:C,"")</f>
        <v>KL</v>
      </c>
      <c r="G37" s="6">
        <f>_xlfn.XLOOKUP(C37,EventTypes!A:A,EventTypes!E:E,"")</f>
        <v>0</v>
      </c>
      <c r="H37" s="6">
        <f>_xlfn.XLOOKUP(C37,EventTypes!A:A,EventTypes!F:F,"")</f>
        <v>0</v>
      </c>
      <c r="I37" s="6">
        <v>1</v>
      </c>
      <c r="J37" s="7">
        <v>46137</v>
      </c>
      <c r="K37" s="8">
        <v>0.75</v>
      </c>
      <c r="L37" s="8">
        <v>0.91666666666666663</v>
      </c>
    </row>
    <row r="38" spans="1:12" s="6" customFormat="1" x14ac:dyDescent="0.2">
      <c r="A38" s="6">
        <v>38</v>
      </c>
      <c r="B38" s="6" t="s">
        <v>67</v>
      </c>
      <c r="C38" s="6" t="s">
        <v>16</v>
      </c>
      <c r="D38" s="6" t="str">
        <f>_xlfn.XLOOKUP(C38,EventTypes!A:A,EventTypes!B:B,"")</f>
        <v>Barna</v>
      </c>
      <c r="E38" s="6">
        <f>_xlfn.XLOOKUP(C38,EventTypes!A:A,EventTypes!D:D,"")</f>
        <v>80</v>
      </c>
      <c r="F38" s="6" t="str">
        <f>_xlfn.XLOOKUP(C38,EventTypes!A:A,EventTypes!C:C,"")</f>
        <v>KL</v>
      </c>
      <c r="G38" s="6">
        <f>_xlfn.XLOOKUP(C38,EventTypes!A:A,EventTypes!E:E,"")</f>
        <v>0</v>
      </c>
      <c r="H38" s="6">
        <f>_xlfn.XLOOKUP(C38,EventTypes!A:A,EventTypes!F:F,"")</f>
        <v>1</v>
      </c>
      <c r="I38" s="6">
        <v>2</v>
      </c>
      <c r="J38" s="7">
        <v>46137</v>
      </c>
      <c r="K38" s="8">
        <v>0.5</v>
      </c>
      <c r="L38" s="8">
        <v>0.66666666666666663</v>
      </c>
    </row>
    <row r="39" spans="1:12" s="6" customFormat="1" x14ac:dyDescent="0.2">
      <c r="A39" s="6">
        <v>39</v>
      </c>
      <c r="B39" s="6" t="s">
        <v>7</v>
      </c>
      <c r="C39" s="6" t="s">
        <v>7</v>
      </c>
      <c r="D39" s="6" t="str">
        <f>_xlfn.XLOOKUP(C39,EventTypes!A:A,EventTypes!B:B,"")</f>
        <v>Solo</v>
      </c>
      <c r="E39" s="6">
        <f>_xlfn.XLOOKUP(C39,EventTypes!A:A,EventTypes!D:D,"")</f>
        <v>90</v>
      </c>
      <c r="F39" s="6" t="str">
        <f>_xlfn.XLOOKUP(C39,EventTypes!A:A,EventTypes!C:C,"")</f>
        <v>BL</v>
      </c>
      <c r="G39" s="6">
        <f>_xlfn.XLOOKUP(C39,EventTypes!A:A,EventTypes!E:E,"")</f>
        <v>0</v>
      </c>
      <c r="H39" s="6">
        <f>_xlfn.XLOOKUP(C39,EventTypes!A:A,EventTypes!F:F,"")</f>
        <v>0</v>
      </c>
      <c r="I39" s="6">
        <v>1</v>
      </c>
      <c r="J39" s="7">
        <v>46134</v>
      </c>
      <c r="K39" s="8">
        <v>0.79166666666666663</v>
      </c>
      <c r="L39" s="8">
        <v>0.91666666666666663</v>
      </c>
    </row>
    <row r="40" spans="1:12" s="6" customFormat="1" x14ac:dyDescent="0.2">
      <c r="A40" s="6">
        <v>40</v>
      </c>
      <c r="B40" s="6" t="s">
        <v>7</v>
      </c>
      <c r="C40" s="6" t="s">
        <v>7</v>
      </c>
      <c r="D40" s="6" t="str">
        <f>_xlfn.XLOOKUP(C40,EventTypes!A:A,EventTypes!B:B,"")</f>
        <v>Solo</v>
      </c>
      <c r="E40" s="6">
        <f>_xlfn.XLOOKUP(C40,EventTypes!A:A,EventTypes!D:D,"")</f>
        <v>90</v>
      </c>
      <c r="F40" s="6" t="str">
        <f>_xlfn.XLOOKUP(C40,EventTypes!A:A,EventTypes!C:C,"")</f>
        <v>BL</v>
      </c>
      <c r="G40" s="6">
        <f>_xlfn.XLOOKUP(C40,EventTypes!A:A,EventTypes!E:E,"")</f>
        <v>0</v>
      </c>
      <c r="H40" s="6">
        <f>_xlfn.XLOOKUP(C40,EventTypes!A:A,EventTypes!F:F,"")</f>
        <v>0</v>
      </c>
      <c r="I40" s="6">
        <v>1</v>
      </c>
      <c r="J40" s="7">
        <v>46141</v>
      </c>
      <c r="K40" s="8">
        <v>0.79166666666666663</v>
      </c>
      <c r="L40" s="8">
        <v>0.91666666666666663</v>
      </c>
    </row>
    <row r="41" spans="1:12" s="6" customFormat="1" x14ac:dyDescent="0.2">
      <c r="A41" s="6">
        <v>41</v>
      </c>
      <c r="B41" s="6" t="s">
        <v>139</v>
      </c>
      <c r="C41" s="6" t="s">
        <v>3</v>
      </c>
      <c r="D41" s="6" t="str">
        <f>_xlfn.XLOOKUP(C41,EventTypes!A:A,EventTypes!B:B,"")</f>
        <v>Basic</v>
      </c>
      <c r="E41" s="6">
        <f>_xlfn.XLOOKUP(C41,EventTypes!A:A,EventTypes!D:D,"")</f>
        <v>40</v>
      </c>
      <c r="F41" s="6" t="str">
        <f>_xlfn.XLOOKUP(C41,EventTypes!A:A,EventTypes!C:C,"")</f>
        <v>KL</v>
      </c>
      <c r="G41" s="6">
        <f>_xlfn.XLOOKUP(C41,EventTypes!A:A,EventTypes!E:E,"")</f>
        <v>0</v>
      </c>
      <c r="H41" s="6">
        <f>_xlfn.XLOOKUP(C41,EventTypes!A:A,EventTypes!F:F,"")</f>
        <v>1</v>
      </c>
      <c r="I41" s="6">
        <v>1</v>
      </c>
      <c r="J41" s="7">
        <v>46132</v>
      </c>
      <c r="K41" s="8">
        <v>0.75</v>
      </c>
      <c r="L41" s="8">
        <v>0.875</v>
      </c>
    </row>
    <row r="42" spans="1:12" s="6" customFormat="1" x14ac:dyDescent="0.2">
      <c r="A42" s="6">
        <v>42</v>
      </c>
      <c r="B42" s="6" t="s">
        <v>8</v>
      </c>
      <c r="C42" s="6" t="s">
        <v>8</v>
      </c>
      <c r="D42" s="6" t="str">
        <f>_xlfn.XLOOKUP(C42,EventTypes!A:A,EventTypes!B:B,"")</f>
        <v>Basic</v>
      </c>
      <c r="E42" s="6">
        <f>_xlfn.XLOOKUP(C42,EventTypes!A:A,EventTypes!D:D,"")</f>
        <v>50</v>
      </c>
      <c r="F42" s="6" t="str">
        <f>_xlfn.XLOOKUP(C42,EventTypes!A:A,EventTypes!C:C,"")</f>
        <v>EB</v>
      </c>
      <c r="G42" s="6">
        <f>_xlfn.XLOOKUP(C42,EventTypes!A:A,EventTypes!E:E,"")</f>
        <v>1</v>
      </c>
      <c r="H42" s="6">
        <f>_xlfn.XLOOKUP(C42,EventTypes!A:A,EventTypes!F:F,"")</f>
        <v>3</v>
      </c>
      <c r="I42" s="6">
        <v>7</v>
      </c>
      <c r="J42" s="7">
        <v>46136</v>
      </c>
      <c r="K42" s="8">
        <v>0.77083333333333337</v>
      </c>
      <c r="L42" s="8">
        <v>0.89583333333333337</v>
      </c>
    </row>
    <row r="43" spans="1:12" s="6" customFormat="1" x14ac:dyDescent="0.2">
      <c r="A43" s="6">
        <v>43</v>
      </c>
      <c r="B43" s="6" t="s">
        <v>140</v>
      </c>
      <c r="C43" s="6" t="s">
        <v>12</v>
      </c>
      <c r="D43" s="6" t="str">
        <f>_xlfn.XLOOKUP(C43,EventTypes!A:A,EventTypes!B:B,"")</f>
        <v>Party</v>
      </c>
      <c r="E43" s="6">
        <f>_xlfn.XLOOKUP(C43,EventTypes!A:A,EventTypes!D:D,"")</f>
        <v>50</v>
      </c>
      <c r="F43" s="6" t="str">
        <f>_xlfn.XLOOKUP(C43,EventTypes!A:A,EventTypes!C:C,"")</f>
        <v>EB</v>
      </c>
      <c r="G43" s="6">
        <f>_xlfn.XLOOKUP(C43,EventTypes!A:A,EventTypes!E:E,"")</f>
        <v>1</v>
      </c>
      <c r="H43" s="6">
        <f>_xlfn.XLOOKUP(C43,EventTypes!A:A,EventTypes!F:F,"")</f>
        <v>6</v>
      </c>
      <c r="I43" s="6">
        <v>12</v>
      </c>
      <c r="J43" s="7">
        <v>46137</v>
      </c>
      <c r="K43" s="8">
        <v>0.83333333333333337</v>
      </c>
      <c r="L43" s="8">
        <v>0</v>
      </c>
    </row>
    <row r="44" spans="1:12" s="6" customFormat="1" x14ac:dyDescent="0.2">
      <c r="A44" s="6">
        <v>44</v>
      </c>
      <c r="B44" s="6" t="s">
        <v>141</v>
      </c>
      <c r="C44" s="6" t="s">
        <v>2</v>
      </c>
      <c r="D44" s="6" t="str">
        <f>_xlfn.XLOOKUP(C44,EventTypes!A:A,EventTypes!B:B,"")</f>
        <v>Basic</v>
      </c>
      <c r="E44" s="6">
        <f>_xlfn.XLOOKUP(C44,EventTypes!A:A,EventTypes!D:D,"")</f>
        <v>70</v>
      </c>
      <c r="F44" s="6" t="str">
        <f>_xlfn.XLOOKUP(C44,EventTypes!A:A,EventTypes!C:C,"")</f>
        <v>EB</v>
      </c>
      <c r="G44" s="6">
        <v>1</v>
      </c>
      <c r="H44" s="6">
        <f>_xlfn.XLOOKUP(C44,EventTypes!A:A,EventTypes!F:F,"")</f>
        <v>4</v>
      </c>
      <c r="I44" s="6">
        <v>8</v>
      </c>
      <c r="J44" s="7">
        <v>46138</v>
      </c>
      <c r="K44" s="8">
        <v>0.66666666666666663</v>
      </c>
      <c r="L44" s="8">
        <v>0.83333333333333337</v>
      </c>
    </row>
    <row r="45" spans="1:12" s="6" customFormat="1" x14ac:dyDescent="0.2">
      <c r="A45" s="6">
        <v>45</v>
      </c>
      <c r="B45" s="6" t="s">
        <v>8</v>
      </c>
      <c r="C45" s="6" t="s">
        <v>8</v>
      </c>
      <c r="D45" s="6" t="str">
        <f>_xlfn.XLOOKUP(C45,EventTypes!A:A,EventTypes!B:B,"")</f>
        <v>Basic</v>
      </c>
      <c r="E45" s="6">
        <f>_xlfn.XLOOKUP(C45,EventTypes!A:A,EventTypes!D:D,"")</f>
        <v>50</v>
      </c>
      <c r="F45" s="6" t="str">
        <f>_xlfn.XLOOKUP(C45,EventTypes!A:A,EventTypes!C:C,"")</f>
        <v>EB</v>
      </c>
      <c r="G45" s="6">
        <f>_xlfn.XLOOKUP(C45,EventTypes!A:A,EventTypes!E:E,"")</f>
        <v>1</v>
      </c>
      <c r="H45" s="6">
        <f>_xlfn.XLOOKUP(C45,EventTypes!A:A,EventTypes!F:F,"")</f>
        <v>3</v>
      </c>
      <c r="I45" s="6">
        <v>11</v>
      </c>
      <c r="J45" s="7">
        <v>46142</v>
      </c>
      <c r="K45" s="8">
        <v>0.77083333333333337</v>
      </c>
      <c r="L45" s="8">
        <v>0.89583333333333337</v>
      </c>
    </row>
    <row r="46" spans="1:12" s="6" customFormat="1" x14ac:dyDescent="0.2">
      <c r="A46" s="6">
        <v>46</v>
      </c>
      <c r="B46" s="6" t="s">
        <v>135</v>
      </c>
      <c r="C46" s="6" t="s">
        <v>6</v>
      </c>
      <c r="D46" s="6" t="str">
        <f>_xlfn.XLOOKUP(C46,EventTypes!A:A,EventTypes!B:B,"")</f>
        <v>Basic</v>
      </c>
      <c r="E46" s="6">
        <f>_xlfn.XLOOKUP(C46,EventTypes!A:A,EventTypes!D:D,"")</f>
        <v>80</v>
      </c>
      <c r="F46" s="6" t="str">
        <f>_xlfn.XLOOKUP(C46,EventTypes!A:A,EventTypes!C:C,"")</f>
        <v>NL</v>
      </c>
      <c r="G46" s="6">
        <v>0</v>
      </c>
      <c r="H46" s="6">
        <v>0</v>
      </c>
      <c r="I46" s="6">
        <v>4</v>
      </c>
      <c r="J46" s="7">
        <v>46136</v>
      </c>
      <c r="K46" s="8">
        <v>0.75</v>
      </c>
      <c r="L46" s="8">
        <v>0.83333333333333337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EDD61-16E7-4C4E-836A-ED6F00AC7EA6}">
          <x14:formula1>
            <xm:f>EventTypes!$A$2:$A$16</xm:f>
          </x14:formula1>
          <xm:sqref>C2:C46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42"/>
  <sheetViews>
    <sheetView tabSelected="1" topLeftCell="A8" workbookViewId="0">
      <selection activeCell="G36" sqref="G36"/>
    </sheetView>
  </sheetViews>
  <sheetFormatPr baseColWidth="10" defaultColWidth="8.83203125" defaultRowHeight="15" x14ac:dyDescent="0.2"/>
  <cols>
    <col min="1" max="1" width="11.83203125" bestFit="1" customWidth="1"/>
    <col min="2" max="2" width="14" bestFit="1" customWidth="1"/>
    <col min="3" max="3" width="7.1640625" bestFit="1" customWidth="1"/>
  </cols>
  <sheetData>
    <row r="1" spans="1:3" x14ac:dyDescent="0.2">
      <c r="A1" s="1" t="s">
        <v>68</v>
      </c>
      <c r="B1" s="1" t="s">
        <v>69</v>
      </c>
      <c r="C1" s="1" t="s">
        <v>60</v>
      </c>
    </row>
    <row r="2" spans="1:3" x14ac:dyDescent="0.2">
      <c r="A2">
        <v>1</v>
      </c>
      <c r="B2" t="s">
        <v>142</v>
      </c>
      <c r="C2">
        <v>2</v>
      </c>
    </row>
    <row r="3" spans="1:3" x14ac:dyDescent="0.2">
      <c r="A3">
        <v>2</v>
      </c>
      <c r="B3" t="s">
        <v>89</v>
      </c>
      <c r="C3">
        <v>2</v>
      </c>
    </row>
    <row r="4" spans="1:3" x14ac:dyDescent="0.2">
      <c r="A4">
        <v>3</v>
      </c>
      <c r="B4" t="s">
        <v>90</v>
      </c>
      <c r="C4">
        <v>2</v>
      </c>
    </row>
    <row r="5" spans="1:3" x14ac:dyDescent="0.2">
      <c r="A5">
        <v>4</v>
      </c>
      <c r="B5" t="s">
        <v>91</v>
      </c>
      <c r="C5">
        <v>2</v>
      </c>
    </row>
    <row r="6" spans="1:3" x14ac:dyDescent="0.2">
      <c r="A6">
        <v>5</v>
      </c>
      <c r="B6" t="s">
        <v>92</v>
      </c>
      <c r="C6">
        <v>2</v>
      </c>
    </row>
    <row r="7" spans="1:3" x14ac:dyDescent="0.2">
      <c r="A7">
        <v>6</v>
      </c>
      <c r="B7" t="s">
        <v>143</v>
      </c>
      <c r="C7">
        <v>2</v>
      </c>
    </row>
    <row r="8" spans="1:3" x14ac:dyDescent="0.2">
      <c r="A8">
        <v>7</v>
      </c>
      <c r="B8" t="s">
        <v>144</v>
      </c>
      <c r="C8">
        <v>2</v>
      </c>
    </row>
    <row r="9" spans="1:3" x14ac:dyDescent="0.2">
      <c r="A9">
        <v>8</v>
      </c>
      <c r="B9" t="s">
        <v>93</v>
      </c>
      <c r="C9">
        <v>2</v>
      </c>
    </row>
    <row r="10" spans="1:3" x14ac:dyDescent="0.2">
      <c r="A10">
        <v>9</v>
      </c>
      <c r="B10" t="s">
        <v>94</v>
      </c>
      <c r="C10">
        <v>2</v>
      </c>
    </row>
    <row r="11" spans="1:3" x14ac:dyDescent="0.2">
      <c r="A11">
        <v>10</v>
      </c>
      <c r="B11" t="s">
        <v>95</v>
      </c>
      <c r="C11">
        <v>2</v>
      </c>
    </row>
    <row r="12" spans="1:3" x14ac:dyDescent="0.2">
      <c r="A12">
        <v>11</v>
      </c>
      <c r="B12" t="s">
        <v>96</v>
      </c>
      <c r="C12">
        <v>2</v>
      </c>
    </row>
    <row r="13" spans="1:3" x14ac:dyDescent="0.2">
      <c r="A13">
        <v>12</v>
      </c>
      <c r="B13" t="s">
        <v>97</v>
      </c>
      <c r="C13">
        <v>2</v>
      </c>
    </row>
    <row r="14" spans="1:3" x14ac:dyDescent="0.2">
      <c r="A14">
        <v>13</v>
      </c>
      <c r="B14" t="s">
        <v>98</v>
      </c>
      <c r="C14">
        <v>2</v>
      </c>
    </row>
    <row r="15" spans="1:3" x14ac:dyDescent="0.2">
      <c r="A15">
        <v>14</v>
      </c>
      <c r="B15" t="s">
        <v>99</v>
      </c>
      <c r="C15">
        <v>2</v>
      </c>
    </row>
    <row r="16" spans="1:3" x14ac:dyDescent="0.2">
      <c r="A16">
        <v>15</v>
      </c>
      <c r="B16" t="s">
        <v>100</v>
      </c>
      <c r="C16">
        <v>2</v>
      </c>
    </row>
    <row r="17" spans="1:3" x14ac:dyDescent="0.2">
      <c r="A17">
        <v>16</v>
      </c>
      <c r="B17" t="s">
        <v>101</v>
      </c>
      <c r="C17">
        <v>2</v>
      </c>
    </row>
    <row r="18" spans="1:3" x14ac:dyDescent="0.2">
      <c r="A18">
        <v>17</v>
      </c>
      <c r="B18" t="s">
        <v>102</v>
      </c>
      <c r="C18">
        <v>2</v>
      </c>
    </row>
    <row r="19" spans="1:3" x14ac:dyDescent="0.2">
      <c r="A19">
        <v>18</v>
      </c>
      <c r="B19" t="s">
        <v>103</v>
      </c>
      <c r="C19">
        <v>2</v>
      </c>
    </row>
    <row r="20" spans="1:3" x14ac:dyDescent="0.2">
      <c r="A20">
        <v>19</v>
      </c>
      <c r="B20" t="s">
        <v>104</v>
      </c>
      <c r="C20">
        <v>2</v>
      </c>
    </row>
    <row r="21" spans="1:3" x14ac:dyDescent="0.2">
      <c r="A21">
        <v>20</v>
      </c>
      <c r="B21" t="s">
        <v>105</v>
      </c>
      <c r="C21">
        <v>2</v>
      </c>
    </row>
    <row r="22" spans="1:3" x14ac:dyDescent="0.2">
      <c r="A22">
        <v>21</v>
      </c>
      <c r="B22" t="s">
        <v>145</v>
      </c>
      <c r="C22">
        <v>2</v>
      </c>
    </row>
    <row r="23" spans="1:3" x14ac:dyDescent="0.2">
      <c r="A23">
        <v>22</v>
      </c>
      <c r="B23" t="s">
        <v>106</v>
      </c>
      <c r="C23">
        <v>2</v>
      </c>
    </row>
    <row r="24" spans="1:3" x14ac:dyDescent="0.2">
      <c r="A24">
        <v>23</v>
      </c>
      <c r="B24" t="s">
        <v>146</v>
      </c>
      <c r="C24">
        <v>2</v>
      </c>
    </row>
    <row r="25" spans="1:3" x14ac:dyDescent="0.2">
      <c r="A25">
        <v>24</v>
      </c>
      <c r="B25" t="s">
        <v>107</v>
      </c>
      <c r="C25">
        <v>2</v>
      </c>
    </row>
    <row r="26" spans="1:3" x14ac:dyDescent="0.2">
      <c r="A26">
        <v>25</v>
      </c>
      <c r="B26" t="s">
        <v>147</v>
      </c>
      <c r="C26">
        <v>2</v>
      </c>
    </row>
    <row r="27" spans="1:3" x14ac:dyDescent="0.2">
      <c r="A27">
        <v>26</v>
      </c>
      <c r="B27" t="s">
        <v>108</v>
      </c>
      <c r="C27">
        <v>2</v>
      </c>
    </row>
    <row r="28" spans="1:3" x14ac:dyDescent="0.2">
      <c r="A28">
        <v>27</v>
      </c>
      <c r="B28" t="s">
        <v>109</v>
      </c>
      <c r="C28">
        <v>2</v>
      </c>
    </row>
    <row r="29" spans="1:3" x14ac:dyDescent="0.2">
      <c r="A29">
        <v>28</v>
      </c>
      <c r="B29" t="s">
        <v>110</v>
      </c>
      <c r="C29">
        <v>2</v>
      </c>
    </row>
    <row r="30" spans="1:3" x14ac:dyDescent="0.2">
      <c r="A30">
        <v>29</v>
      </c>
      <c r="B30" t="s">
        <v>111</v>
      </c>
      <c r="C30">
        <v>2</v>
      </c>
    </row>
    <row r="31" spans="1:3" x14ac:dyDescent="0.2">
      <c r="A31">
        <v>30</v>
      </c>
      <c r="B31" t="s">
        <v>112</v>
      </c>
      <c r="C31">
        <v>2</v>
      </c>
    </row>
    <row r="32" spans="1:3" x14ac:dyDescent="0.2">
      <c r="A32">
        <v>31</v>
      </c>
      <c r="B32" t="s">
        <v>113</v>
      </c>
      <c r="C32">
        <v>2</v>
      </c>
    </row>
    <row r="33" spans="1:3" x14ac:dyDescent="0.2">
      <c r="A33">
        <v>32</v>
      </c>
      <c r="B33" t="s">
        <v>114</v>
      </c>
      <c r="C33">
        <v>2</v>
      </c>
    </row>
    <row r="34" spans="1:3" x14ac:dyDescent="0.2">
      <c r="A34">
        <v>33</v>
      </c>
      <c r="B34" t="s">
        <v>115</v>
      </c>
      <c r="C34">
        <v>2</v>
      </c>
    </row>
    <row r="35" spans="1:3" x14ac:dyDescent="0.2">
      <c r="A35">
        <v>34</v>
      </c>
      <c r="B35" t="s">
        <v>148</v>
      </c>
      <c r="C35">
        <v>2</v>
      </c>
    </row>
    <row r="36" spans="1:3" x14ac:dyDescent="0.2">
      <c r="A36">
        <v>35</v>
      </c>
      <c r="B36" t="s">
        <v>116</v>
      </c>
      <c r="C36">
        <v>2</v>
      </c>
    </row>
    <row r="37" spans="1:3" x14ac:dyDescent="0.2">
      <c r="A37">
        <v>36</v>
      </c>
      <c r="B37" t="s">
        <v>117</v>
      </c>
      <c r="C37">
        <v>2</v>
      </c>
    </row>
    <row r="38" spans="1:3" x14ac:dyDescent="0.2">
      <c r="A38">
        <v>37</v>
      </c>
      <c r="B38" t="s">
        <v>118</v>
      </c>
      <c r="C38">
        <v>2</v>
      </c>
    </row>
    <row r="39" spans="1:3" x14ac:dyDescent="0.2">
      <c r="A39">
        <v>38</v>
      </c>
      <c r="B39" t="s">
        <v>119</v>
      </c>
      <c r="C39">
        <v>1</v>
      </c>
    </row>
    <row r="40" spans="1:3" x14ac:dyDescent="0.2">
      <c r="A40">
        <v>39</v>
      </c>
      <c r="B40" t="s">
        <v>120</v>
      </c>
      <c r="C40">
        <v>1</v>
      </c>
    </row>
    <row r="41" spans="1:3" x14ac:dyDescent="0.2">
      <c r="A41">
        <v>40</v>
      </c>
      <c r="B41" t="s">
        <v>121</v>
      </c>
      <c r="C41">
        <v>1</v>
      </c>
    </row>
    <row r="42" spans="1:3" x14ac:dyDescent="0.2">
      <c r="A42">
        <v>41</v>
      </c>
      <c r="B42" t="s">
        <v>122</v>
      </c>
      <c r="C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43"/>
  <sheetViews>
    <sheetView topLeftCell="A7" zoomScale="93" workbookViewId="0">
      <selection activeCell="D43" sqref="D43"/>
    </sheetView>
  </sheetViews>
  <sheetFormatPr baseColWidth="10" defaultColWidth="8.83203125" defaultRowHeight="15" x14ac:dyDescent="0.2"/>
  <cols>
    <col min="1" max="1" width="12.1640625" bestFit="1" customWidth="1"/>
    <col min="2" max="31" width="10.1640625" bestFit="1" customWidth="1"/>
  </cols>
  <sheetData>
    <row r="1" spans="1:32" x14ac:dyDescent="0.2">
      <c r="A1" s="1" t="s">
        <v>68</v>
      </c>
      <c r="B1" s="2">
        <v>46113</v>
      </c>
      <c r="C1" s="2">
        <v>46114</v>
      </c>
      <c r="D1" s="2">
        <v>46115</v>
      </c>
      <c r="E1" s="2">
        <v>46116</v>
      </c>
      <c r="F1" s="2">
        <v>46117</v>
      </c>
      <c r="G1" s="2">
        <v>46118</v>
      </c>
      <c r="H1" s="2">
        <v>46119</v>
      </c>
      <c r="I1" s="2">
        <v>46120</v>
      </c>
      <c r="J1" s="2">
        <v>46121</v>
      </c>
      <c r="K1" s="2">
        <v>46122</v>
      </c>
      <c r="L1" s="2">
        <v>46123</v>
      </c>
      <c r="M1" s="2">
        <v>46124</v>
      </c>
      <c r="N1" s="2">
        <v>46125</v>
      </c>
      <c r="O1" s="2">
        <v>46126</v>
      </c>
      <c r="P1" s="2">
        <v>46127</v>
      </c>
      <c r="Q1" s="2">
        <v>46128</v>
      </c>
      <c r="R1" s="2">
        <v>46129</v>
      </c>
      <c r="S1" s="2">
        <v>46130</v>
      </c>
      <c r="T1" s="2">
        <v>46131</v>
      </c>
      <c r="U1" s="2">
        <v>46132</v>
      </c>
      <c r="V1" s="2">
        <v>46133</v>
      </c>
      <c r="W1" s="2">
        <v>46134</v>
      </c>
      <c r="X1" s="2">
        <v>46135</v>
      </c>
      <c r="Y1" s="2">
        <v>46136</v>
      </c>
      <c r="Z1" s="2">
        <v>46137</v>
      </c>
      <c r="AA1" s="2">
        <v>46138</v>
      </c>
      <c r="AB1" s="2">
        <v>46139</v>
      </c>
      <c r="AC1" s="2">
        <v>46140</v>
      </c>
      <c r="AD1" s="2">
        <v>46141</v>
      </c>
      <c r="AE1" s="2">
        <v>46142</v>
      </c>
      <c r="AF1" s="2"/>
    </row>
    <row r="2" spans="1:32" x14ac:dyDescent="0.2">
      <c r="A2" t="s">
        <v>142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2" x14ac:dyDescent="0.2">
      <c r="A3" t="s">
        <v>89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U3">
        <v>1</v>
      </c>
    </row>
    <row r="4" spans="1:32" x14ac:dyDescent="0.2">
      <c r="A4" t="s">
        <v>90</v>
      </c>
      <c r="T4">
        <v>1</v>
      </c>
      <c r="U4">
        <v>1</v>
      </c>
      <c r="V4">
        <v>1</v>
      </c>
    </row>
    <row r="5" spans="1:32" x14ac:dyDescent="0.2">
      <c r="A5" t="s">
        <v>91</v>
      </c>
    </row>
    <row r="6" spans="1:32" x14ac:dyDescent="0.2">
      <c r="A6" t="s">
        <v>92</v>
      </c>
      <c r="C6">
        <v>1</v>
      </c>
      <c r="D6">
        <v>1</v>
      </c>
      <c r="E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32" x14ac:dyDescent="0.2">
      <c r="A7" t="s">
        <v>143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2" x14ac:dyDescent="0.2">
      <c r="A8" t="s">
        <v>144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2" x14ac:dyDescent="0.2">
      <c r="A9" t="s">
        <v>93</v>
      </c>
    </row>
    <row r="10" spans="1:32" x14ac:dyDescent="0.2">
      <c r="A10" t="s">
        <v>94</v>
      </c>
      <c r="H10">
        <v>1</v>
      </c>
      <c r="V10">
        <v>1</v>
      </c>
    </row>
    <row r="11" spans="1:32" x14ac:dyDescent="0.2">
      <c r="A11" t="s">
        <v>95</v>
      </c>
    </row>
    <row r="12" spans="1:32" x14ac:dyDescent="0.2">
      <c r="A12" t="s">
        <v>96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32" x14ac:dyDescent="0.2">
      <c r="A13" t="s">
        <v>97</v>
      </c>
    </row>
    <row r="14" spans="1:32" x14ac:dyDescent="0.2">
      <c r="A14" t="s">
        <v>98</v>
      </c>
    </row>
    <row r="15" spans="1:32" x14ac:dyDescent="0.2">
      <c r="A15" t="s">
        <v>99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32" x14ac:dyDescent="0.2">
      <c r="A16" t="s">
        <v>100</v>
      </c>
    </row>
    <row r="17" spans="1:31" x14ac:dyDescent="0.2">
      <c r="A17" t="s">
        <v>101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31" x14ac:dyDescent="0.2">
      <c r="A18" t="s">
        <v>102</v>
      </c>
    </row>
    <row r="19" spans="1:31" x14ac:dyDescent="0.2">
      <c r="A19" t="s">
        <v>103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31" x14ac:dyDescent="0.2">
      <c r="A20" t="s">
        <v>104</v>
      </c>
    </row>
    <row r="21" spans="1:31" x14ac:dyDescent="0.2">
      <c r="A21" t="s">
        <v>105</v>
      </c>
      <c r="T21">
        <v>1</v>
      </c>
      <c r="U21">
        <v>1</v>
      </c>
      <c r="V21">
        <v>1</v>
      </c>
    </row>
    <row r="22" spans="1:31" x14ac:dyDescent="0.2">
      <c r="A22" t="s">
        <v>145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">
      <c r="A23" t="s">
        <v>106</v>
      </c>
    </row>
    <row r="24" spans="1:31" x14ac:dyDescent="0.2">
      <c r="A24" t="s">
        <v>146</v>
      </c>
    </row>
    <row r="25" spans="1:31" x14ac:dyDescent="0.2">
      <c r="A25" t="s">
        <v>107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31" x14ac:dyDescent="0.2">
      <c r="A26" t="s">
        <v>147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">
      <c r="A27" t="s">
        <v>108</v>
      </c>
    </row>
    <row r="28" spans="1:31" x14ac:dyDescent="0.2">
      <c r="A28" t="s">
        <v>109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</row>
    <row r="29" spans="1:31" x14ac:dyDescent="0.2">
      <c r="A29" t="s">
        <v>110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31" x14ac:dyDescent="0.2">
      <c r="A30" t="s">
        <v>111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31" x14ac:dyDescent="0.2">
      <c r="A31" t="s">
        <v>112</v>
      </c>
    </row>
    <row r="32" spans="1:31" x14ac:dyDescent="0.2">
      <c r="A32" t="s">
        <v>113</v>
      </c>
    </row>
    <row r="33" spans="1:31" x14ac:dyDescent="0.2">
      <c r="A33" t="s">
        <v>114</v>
      </c>
    </row>
    <row r="34" spans="1:31" x14ac:dyDescent="0.2">
      <c r="A34" t="s">
        <v>115</v>
      </c>
    </row>
    <row r="35" spans="1:31" x14ac:dyDescent="0.2">
      <c r="A35" t="s">
        <v>148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 x14ac:dyDescent="0.2">
      <c r="A36" t="s">
        <v>116</v>
      </c>
    </row>
    <row r="37" spans="1:31" x14ac:dyDescent="0.2">
      <c r="A37" t="s">
        <v>117</v>
      </c>
    </row>
    <row r="38" spans="1:31" x14ac:dyDescent="0.2">
      <c r="A38" t="s">
        <v>118</v>
      </c>
      <c r="E38">
        <v>1</v>
      </c>
    </row>
    <row r="39" spans="1:31" x14ac:dyDescent="0.2">
      <c r="A39" t="s">
        <v>119</v>
      </c>
    </row>
    <row r="40" spans="1:31" x14ac:dyDescent="0.2">
      <c r="A40" t="s">
        <v>120</v>
      </c>
    </row>
    <row r="41" spans="1:31" x14ac:dyDescent="0.2">
      <c r="A41" t="s">
        <v>121</v>
      </c>
      <c r="D41">
        <v>1</v>
      </c>
      <c r="E41">
        <v>1</v>
      </c>
      <c r="F41">
        <v>1</v>
      </c>
      <c r="I41">
        <v>1</v>
      </c>
      <c r="J41">
        <v>1</v>
      </c>
      <c r="K41">
        <v>1</v>
      </c>
      <c r="L41">
        <v>1</v>
      </c>
      <c r="M41">
        <v>1</v>
      </c>
      <c r="U41">
        <v>1</v>
      </c>
      <c r="V41">
        <v>1</v>
      </c>
    </row>
    <row r="42" spans="1:31" x14ac:dyDescent="0.2">
      <c r="A42" t="s">
        <v>122</v>
      </c>
    </row>
    <row r="43" spans="1:31" ht="16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287-6D87-488B-B523-72276289E9B7}">
  <dimension ref="A1:AJ49"/>
  <sheetViews>
    <sheetView zoomScale="92" workbookViewId="0">
      <selection activeCell="AJ2" sqref="AJ2"/>
    </sheetView>
  </sheetViews>
  <sheetFormatPr baseColWidth="10" defaultColWidth="8.83203125" defaultRowHeight="15" x14ac:dyDescent="0.2"/>
  <cols>
    <col min="1" max="1" width="12.1640625" bestFit="1" customWidth="1"/>
    <col min="2" max="2" width="11.1640625" bestFit="1" customWidth="1"/>
  </cols>
  <sheetData>
    <row r="1" spans="1:36" s="1" customFormat="1" x14ac:dyDescent="0.2">
      <c r="A1" s="1" t="str">
        <f>Events!B1</f>
        <v>Event</v>
      </c>
      <c r="B1" s="1" t="str">
        <f>Events!J1</f>
        <v>Date</v>
      </c>
      <c r="C1" s="1" t="str">
        <f>Employees!B2</f>
        <v>Agnes Anna</v>
      </c>
      <c r="D1" s="1" t="str">
        <f>Employees!B3</f>
        <v xml:space="preserve">Alda/ Miðó </v>
      </c>
      <c r="E1" s="1" t="str">
        <f>Employees!B4</f>
        <v xml:space="preserve">Anna Soffía </v>
      </c>
      <c r="F1" s="1" t="str">
        <f>Employees!B5</f>
        <v>Arnar Ragn</v>
      </c>
      <c r="G1" s="1" t="str">
        <f>Employees!B6</f>
        <v xml:space="preserve">Auður </v>
      </c>
      <c r="H1" s="1" t="str">
        <f>Employees!B7</f>
        <v>Ágústa</v>
      </c>
      <c r="I1" s="1" t="str">
        <f>Employees!B8</f>
        <v>Daníel</v>
      </c>
      <c r="J1" s="1" t="str">
        <f>Employees!B9</f>
        <v xml:space="preserve">Elísabet </v>
      </c>
      <c r="K1" s="1" t="str">
        <f>Employees!B10</f>
        <v xml:space="preserve">Elmar </v>
      </c>
      <c r="L1" s="1" t="str">
        <f>Employees!B11</f>
        <v xml:space="preserve">Erna </v>
      </c>
      <c r="M1" s="1" t="str">
        <f>Employees!B12</f>
        <v xml:space="preserve">Gaukur </v>
      </c>
      <c r="N1" s="1" t="str">
        <f>Employees!B13</f>
        <v>Gréta</v>
      </c>
      <c r="O1" s="1" t="str">
        <f>Employees!B14</f>
        <v xml:space="preserve">Guðný  </v>
      </c>
      <c r="P1" s="1" t="str">
        <f>Employees!B15</f>
        <v xml:space="preserve">Hólmfríður </v>
      </c>
      <c r="Q1" s="1" t="str">
        <f>Employees!B16</f>
        <v>Hrafnkell</v>
      </c>
      <c r="R1" s="1" t="str">
        <f>Employees!B17</f>
        <v xml:space="preserve">Hrannar </v>
      </c>
      <c r="S1" s="1" t="str">
        <f>Employees!B18</f>
        <v xml:space="preserve">Jórunn  </v>
      </c>
      <c r="T1" s="1" t="str">
        <f>Employees!B19</f>
        <v>Katrín Hel</v>
      </c>
      <c r="U1" s="1" t="str">
        <f>Employees!B20</f>
        <v xml:space="preserve">Katrín Sig </v>
      </c>
      <c r="V1" s="1" t="str">
        <f>Employees!B21</f>
        <v xml:space="preserve">Laufey </v>
      </c>
      <c r="W1" s="1" t="str">
        <f>Employees!B22</f>
        <v>Magnea</v>
      </c>
      <c r="X1" s="1" t="str">
        <f>Employees!B23</f>
        <v xml:space="preserve">Magnús  </v>
      </c>
      <c r="Y1" s="1" t="str">
        <f>Employees!B24</f>
        <v>Margrét Lára</v>
      </c>
      <c r="Z1" s="1" t="str">
        <f>Employees!B25</f>
        <v>Orri</v>
      </c>
      <c r="AA1" s="1" t="str">
        <f>Employees!B26</f>
        <v>Palli</v>
      </c>
      <c r="AB1" s="1" t="str">
        <f>Employees!B27</f>
        <v xml:space="preserve">Rut </v>
      </c>
      <c r="AC1" s="1" t="str">
        <f>Employees!B28</f>
        <v>Sara B</v>
      </c>
      <c r="AD1" s="1" t="str">
        <f>Employees!B29</f>
        <v xml:space="preserve">Sara Júlía </v>
      </c>
      <c r="AE1" s="1" t="str">
        <f>Employees!B30</f>
        <v xml:space="preserve">Selma </v>
      </c>
      <c r="AF1" s="1" t="str">
        <f>Employees!B31</f>
        <v xml:space="preserve">Sigríður </v>
      </c>
      <c r="AG1" s="1" t="str">
        <f>Employees!B32</f>
        <v>Sveinn</v>
      </c>
      <c r="AH1" s="1" t="str">
        <f>Employees!B33</f>
        <v xml:space="preserve">Sæmundur </v>
      </c>
      <c r="AI1" s="1" t="str">
        <f>Employees!B34</f>
        <v xml:space="preserve">Valdís </v>
      </c>
      <c r="AJ1" s="1" t="str">
        <f>Employees!B35</f>
        <v>Vero</v>
      </c>
    </row>
    <row r="2" spans="1:36" x14ac:dyDescent="0.2">
      <c r="A2" t="str">
        <f>Events!B2</f>
        <v>Múlinn</v>
      </c>
      <c r="B2" s="5">
        <f>Events!J2</f>
        <v>46113</v>
      </c>
    </row>
    <row r="3" spans="1:36" x14ac:dyDescent="0.2">
      <c r="A3" t="str">
        <f>Events!B3</f>
        <v>RF</v>
      </c>
      <c r="B3" s="5">
        <f>Events!J3</f>
        <v>46113</v>
      </c>
    </row>
    <row r="4" spans="1:36" x14ac:dyDescent="0.2">
      <c r="A4" t="str">
        <f>Events!B4</f>
        <v>VH</v>
      </c>
      <c r="B4" s="5">
        <f>Events!J4</f>
        <v>46113</v>
      </c>
    </row>
    <row r="5" spans="1:36" x14ac:dyDescent="0.2">
      <c r="A5" t="str">
        <f>Events!B5</f>
        <v>RF</v>
      </c>
      <c r="B5" s="5">
        <f>Events!J5</f>
        <v>46114</v>
      </c>
    </row>
    <row r="6" spans="1:36" x14ac:dyDescent="0.2">
      <c r="A6" t="str">
        <f>Events!B6</f>
        <v>VH</v>
      </c>
      <c r="B6" s="5">
        <f>Events!J6</f>
        <v>46114</v>
      </c>
    </row>
    <row r="7" spans="1:36" x14ac:dyDescent="0.2">
      <c r="A7" t="str">
        <f>Events!B7</f>
        <v>VH</v>
      </c>
      <c r="B7" s="5">
        <f>Events!J7</f>
        <v>46116</v>
      </c>
    </row>
    <row r="8" spans="1:36" x14ac:dyDescent="0.2">
      <c r="A8" t="str">
        <f>Events!B8</f>
        <v>Múlinn</v>
      </c>
      <c r="B8" s="5">
        <f>Events!J8</f>
        <v>46120</v>
      </c>
    </row>
    <row r="9" spans="1:36" x14ac:dyDescent="0.2">
      <c r="A9" t="str">
        <f>Events!B9</f>
        <v>Sinfó</v>
      </c>
      <c r="B9" s="5">
        <f>Events!J9</f>
        <v>46121</v>
      </c>
    </row>
    <row r="10" spans="1:36" x14ac:dyDescent="0.2">
      <c r="A10" t="str">
        <f>Events!B10</f>
        <v>Sinfó</v>
      </c>
      <c r="B10" s="5">
        <f>Events!J10</f>
        <v>46122</v>
      </c>
    </row>
    <row r="11" spans="1:36" x14ac:dyDescent="0.2">
      <c r="A11" t="str">
        <f>Events!B11</f>
        <v>Sinfó</v>
      </c>
      <c r="B11" s="5">
        <f>Events!J11</f>
        <v>46123</v>
      </c>
    </row>
    <row r="12" spans="1:36" x14ac:dyDescent="0.2">
      <c r="A12" t="str">
        <f>Events!B12</f>
        <v>PL</v>
      </c>
      <c r="B12" s="5">
        <f>Events!J12</f>
        <v>46123</v>
      </c>
    </row>
    <row r="13" spans="1:36" x14ac:dyDescent="0.2">
      <c r="A13" t="str">
        <f>Events!B13</f>
        <v>Fam</v>
      </c>
      <c r="B13" s="5">
        <f>Events!J13</f>
        <v>46124</v>
      </c>
    </row>
    <row r="14" spans="1:36" x14ac:dyDescent="0.2">
      <c r="A14" t="str">
        <f>Events!B14</f>
        <v>Sinfó</v>
      </c>
      <c r="B14" s="5">
        <f>Events!J14</f>
        <v>46124</v>
      </c>
    </row>
    <row r="15" spans="1:36" x14ac:dyDescent="0.2">
      <c r="A15" t="str">
        <f>Events!B15</f>
        <v>Upprás</v>
      </c>
      <c r="B15" s="5">
        <f>Events!J15</f>
        <v>46126</v>
      </c>
    </row>
    <row r="16" spans="1:36" x14ac:dyDescent="0.2">
      <c r="A16" t="str">
        <f>Events!B16</f>
        <v>Múlinn</v>
      </c>
      <c r="B16" s="5">
        <f>Events!J16</f>
        <v>46127</v>
      </c>
    </row>
    <row r="17" spans="1:2" x14ac:dyDescent="0.2">
      <c r="A17" t="str">
        <f>Events!B17</f>
        <v>IA</v>
      </c>
      <c r="B17" s="5">
        <f>Events!J17</f>
        <v>46127</v>
      </c>
    </row>
    <row r="18" spans="1:2" x14ac:dyDescent="0.2">
      <c r="A18" t="str">
        <f>Events!B18</f>
        <v>Sinfó</v>
      </c>
      <c r="B18" s="5">
        <f>Events!J18</f>
        <v>46128</v>
      </c>
    </row>
    <row r="19" spans="1:2" x14ac:dyDescent="0.2">
      <c r="A19" t="str">
        <f>Events!B19</f>
        <v>MÍT</v>
      </c>
      <c r="B19" s="5">
        <f>Events!J19</f>
        <v>46128</v>
      </c>
    </row>
    <row r="20" spans="1:2" x14ac:dyDescent="0.2">
      <c r="A20" t="str">
        <f>Events!B20</f>
        <v>MÍT</v>
      </c>
      <c r="B20" s="5">
        <f>Events!J20</f>
        <v>46129</v>
      </c>
    </row>
    <row r="21" spans="1:2" x14ac:dyDescent="0.2">
      <c r="A21" t="str">
        <f>Events!B21</f>
        <v>MÍT</v>
      </c>
      <c r="B21" s="5">
        <f>Events!J21</f>
        <v>46130</v>
      </c>
    </row>
    <row r="22" spans="1:2" x14ac:dyDescent="0.2">
      <c r="A22" t="str">
        <f>Events!B22</f>
        <v>MÍT</v>
      </c>
      <c r="B22" s="5">
        <f>Events!J22</f>
        <v>46130</v>
      </c>
    </row>
    <row r="23" spans="1:2" x14ac:dyDescent="0.2">
      <c r="A23" t="str">
        <f>Events!B23</f>
        <v>MÍT</v>
      </c>
      <c r="B23" s="5">
        <f>Events!J23</f>
        <v>46128</v>
      </c>
    </row>
    <row r="24" spans="1:2" x14ac:dyDescent="0.2">
      <c r="A24" t="str">
        <f>Events!B24</f>
        <v>MÍT</v>
      </c>
      <c r="B24" s="5">
        <f>Events!J24</f>
        <v>46129</v>
      </c>
    </row>
    <row r="25" spans="1:2" x14ac:dyDescent="0.2">
      <c r="A25" t="str">
        <f>Events!B25</f>
        <v>MÍT</v>
      </c>
      <c r="B25" s="5">
        <f>Events!J25</f>
        <v>46130</v>
      </c>
    </row>
    <row r="26" spans="1:2" x14ac:dyDescent="0.2">
      <c r="A26" t="str">
        <f>Events!B26</f>
        <v>MÍT</v>
      </c>
      <c r="B26" s="5">
        <f>Events!J26</f>
        <v>46130</v>
      </c>
    </row>
    <row r="27" spans="1:2" x14ac:dyDescent="0.2">
      <c r="A27" t="str">
        <f>Events!B27</f>
        <v>NB</v>
      </c>
      <c r="B27" s="5">
        <f>Events!J27</f>
        <v>46129</v>
      </c>
    </row>
    <row r="28" spans="1:2" x14ac:dyDescent="0.2">
      <c r="A28" t="str">
        <f>Events!B28</f>
        <v>DWC</v>
      </c>
      <c r="B28" s="5">
        <f>Events!J28</f>
        <v>46130</v>
      </c>
    </row>
    <row r="29" spans="1:2" x14ac:dyDescent="0.2">
      <c r="A29" t="str">
        <f>Events!B29</f>
        <v>SÍ</v>
      </c>
      <c r="B29" s="5">
        <f>Events!J29</f>
        <v>46131</v>
      </c>
    </row>
    <row r="30" spans="1:2" x14ac:dyDescent="0.2">
      <c r="A30" t="str">
        <f>Events!B30</f>
        <v>KP</v>
      </c>
      <c r="B30" s="5">
        <f>Events!J30</f>
        <v>46131</v>
      </c>
    </row>
    <row r="31" spans="1:2" x14ac:dyDescent="0.2">
      <c r="A31" t="str">
        <f>Events!B31</f>
        <v>Barna dans</v>
      </c>
      <c r="B31" s="5">
        <f>Events!J31</f>
        <v>46133</v>
      </c>
    </row>
    <row r="32" spans="1:2" x14ac:dyDescent="0.2">
      <c r="A32" t="str">
        <f>Events!B32</f>
        <v>UpT</v>
      </c>
      <c r="B32" s="5">
        <f>Events!J32</f>
        <v>46134</v>
      </c>
    </row>
    <row r="33" spans="1:2" x14ac:dyDescent="0.2">
      <c r="A33" t="str">
        <f>Events!B33</f>
        <v>LR</v>
      </c>
      <c r="B33" s="5">
        <f>Events!J33</f>
        <v>46137</v>
      </c>
    </row>
    <row r="34" spans="1:2" x14ac:dyDescent="0.2">
      <c r="A34" t="str">
        <f>Events!B34</f>
        <v>FB</v>
      </c>
      <c r="B34" s="5">
        <f>Events!J34</f>
        <v>46141</v>
      </c>
    </row>
    <row r="35" spans="1:2" x14ac:dyDescent="0.2">
      <c r="A35" t="str">
        <f>Events!B35</f>
        <v>FB</v>
      </c>
      <c r="B35" s="5">
        <f>Events!J35</f>
        <v>46142</v>
      </c>
    </row>
    <row r="36" spans="1:2" x14ac:dyDescent="0.2">
      <c r="A36" t="str">
        <f>Events!B36</f>
        <v>SR</v>
      </c>
      <c r="B36" s="5">
        <f>Events!J36</f>
        <v>46134</v>
      </c>
    </row>
    <row r="37" spans="1:2" x14ac:dyDescent="0.2">
      <c r="A37" t="str">
        <f>Events!B37</f>
        <v>HT</v>
      </c>
      <c r="B37" s="5">
        <f>Events!J37</f>
        <v>46137</v>
      </c>
    </row>
    <row r="38" spans="1:2" x14ac:dyDescent="0.2">
      <c r="A38" t="str">
        <f>Events!B38</f>
        <v>K&amp;B</v>
      </c>
      <c r="B38" s="5">
        <f>Events!J38</f>
        <v>46137</v>
      </c>
    </row>
    <row r="39" spans="1:2" x14ac:dyDescent="0.2">
      <c r="A39" t="str">
        <f>Events!B39</f>
        <v>Múlinn</v>
      </c>
      <c r="B39" s="5">
        <f>Events!J39</f>
        <v>46134</v>
      </c>
    </row>
    <row r="40" spans="1:2" x14ac:dyDescent="0.2">
      <c r="A40" t="str">
        <f>Events!B40</f>
        <v>Múlinn</v>
      </c>
      <c r="B40" s="5">
        <f>Events!J40</f>
        <v>46141</v>
      </c>
    </row>
    <row r="41" spans="1:2" x14ac:dyDescent="0.2">
      <c r="A41" t="str">
        <f>Events!B41</f>
        <v>KV</v>
      </c>
      <c r="B41" s="5">
        <f>Events!J41</f>
        <v>46132</v>
      </c>
    </row>
    <row r="42" spans="1:2" x14ac:dyDescent="0.2">
      <c r="A42" t="str">
        <f>Events!B42</f>
        <v>Sinfó</v>
      </c>
      <c r="B42" s="5">
        <f>Events!J42</f>
        <v>46136</v>
      </c>
    </row>
    <row r="43" spans="1:2" x14ac:dyDescent="0.2">
      <c r="A43" t="str">
        <f>Events!B43</f>
        <v>DP</v>
      </c>
      <c r="B43" s="5">
        <f>Events!J43</f>
        <v>46137</v>
      </c>
    </row>
    <row r="44" spans="1:2" x14ac:dyDescent="0.2">
      <c r="A44" t="str">
        <f>Events!B44</f>
        <v>VR</v>
      </c>
      <c r="B44" s="5">
        <f>Events!J44</f>
        <v>46138</v>
      </c>
    </row>
    <row r="45" spans="1:2" x14ac:dyDescent="0.2">
      <c r="A45" t="str">
        <f>Events!B45</f>
        <v>Sinfó</v>
      </c>
      <c r="B45" s="5">
        <f>Events!J45</f>
        <v>46142</v>
      </c>
    </row>
    <row r="46" spans="1:2" x14ac:dyDescent="0.2">
      <c r="A46" t="str">
        <f>Events!B46</f>
        <v>SR</v>
      </c>
      <c r="B46" s="5">
        <f>Events!J46</f>
        <v>46136</v>
      </c>
    </row>
    <row r="47" spans="1:2" x14ac:dyDescent="0.2">
      <c r="B47" s="5"/>
    </row>
    <row r="48" spans="1:2" x14ac:dyDescent="0.2">
      <c r="B48" s="5"/>
    </row>
    <row r="49" spans="2:2" x14ac:dyDescent="0.2">
      <c r="B4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54E1-26EA-4C6C-A87B-6FC746D3DCD2}">
  <dimension ref="A1:E36"/>
  <sheetViews>
    <sheetView zoomScale="90" workbookViewId="0">
      <selection activeCell="J34" sqref="J34"/>
    </sheetView>
  </sheetViews>
  <sheetFormatPr baseColWidth="10" defaultColWidth="8.83203125" defaultRowHeight="15" x14ac:dyDescent="0.2"/>
  <cols>
    <col min="1" max="1" width="18.83203125" bestFit="1" customWidth="1"/>
  </cols>
  <sheetData>
    <row r="1" spans="1:5" x14ac:dyDescent="0.2">
      <c r="A1" s="1" t="s">
        <v>75</v>
      </c>
      <c r="B1" s="1" t="s">
        <v>76</v>
      </c>
      <c r="C1" s="1" t="s">
        <v>77</v>
      </c>
    </row>
    <row r="2" spans="1:5" x14ac:dyDescent="0.2">
      <c r="A2" t="s">
        <v>78</v>
      </c>
      <c r="B2">
        <v>0</v>
      </c>
      <c r="C2">
        <v>50</v>
      </c>
    </row>
    <row r="3" spans="1:5" x14ac:dyDescent="0.2">
      <c r="A3" t="s">
        <v>78</v>
      </c>
      <c r="B3">
        <v>1</v>
      </c>
      <c r="C3">
        <v>30</v>
      </c>
    </row>
    <row r="4" spans="1:5" x14ac:dyDescent="0.2">
      <c r="A4" t="s">
        <v>78</v>
      </c>
      <c r="B4">
        <v>2</v>
      </c>
      <c r="C4">
        <v>15</v>
      </c>
    </row>
    <row r="5" spans="1:5" x14ac:dyDescent="0.2">
      <c r="A5" t="s">
        <v>78</v>
      </c>
      <c r="B5">
        <v>3</v>
      </c>
      <c r="C5">
        <v>-10</v>
      </c>
    </row>
    <row r="6" spans="1:5" x14ac:dyDescent="0.2">
      <c r="A6" t="s">
        <v>78</v>
      </c>
      <c r="B6">
        <v>4</v>
      </c>
      <c r="C6">
        <v>-50</v>
      </c>
    </row>
    <row r="7" spans="1:5" x14ac:dyDescent="0.2">
      <c r="A7" t="s">
        <v>79</v>
      </c>
      <c r="B7">
        <v>0</v>
      </c>
      <c r="C7">
        <v>50</v>
      </c>
      <c r="E7" s="3"/>
    </row>
    <row r="8" spans="1:5" x14ac:dyDescent="0.2">
      <c r="A8" t="s">
        <v>79</v>
      </c>
      <c r="B8">
        <v>1</v>
      </c>
      <c r="C8">
        <v>25</v>
      </c>
    </row>
    <row r="9" spans="1:5" x14ac:dyDescent="0.2">
      <c r="A9" t="s">
        <v>79</v>
      </c>
      <c r="B9">
        <v>2</v>
      </c>
      <c r="C9">
        <v>0</v>
      </c>
    </row>
    <row r="10" spans="1:5" x14ac:dyDescent="0.2">
      <c r="A10" t="s">
        <v>79</v>
      </c>
      <c r="B10">
        <v>3</v>
      </c>
      <c r="C10">
        <v>-25</v>
      </c>
    </row>
    <row r="11" spans="1:5" x14ac:dyDescent="0.2">
      <c r="A11" t="s">
        <v>79</v>
      </c>
      <c r="B11">
        <v>4</v>
      </c>
      <c r="C11">
        <v>-50</v>
      </c>
    </row>
    <row r="12" spans="1:5" x14ac:dyDescent="0.2">
      <c r="A12" t="s">
        <v>79</v>
      </c>
      <c r="B12">
        <v>5</v>
      </c>
      <c r="C12">
        <v>-60</v>
      </c>
    </row>
    <row r="13" spans="1:5" x14ac:dyDescent="0.2">
      <c r="A13" t="s">
        <v>1</v>
      </c>
      <c r="B13">
        <v>0</v>
      </c>
      <c r="C13">
        <v>20</v>
      </c>
    </row>
    <row r="14" spans="1:5" x14ac:dyDescent="0.2">
      <c r="A14" t="s">
        <v>1</v>
      </c>
      <c r="B14">
        <v>1</v>
      </c>
      <c r="C14">
        <v>10</v>
      </c>
    </row>
    <row r="15" spans="1:5" x14ac:dyDescent="0.2">
      <c r="A15" t="s">
        <v>1</v>
      </c>
      <c r="B15">
        <v>2</v>
      </c>
      <c r="C15">
        <v>0</v>
      </c>
    </row>
    <row r="16" spans="1:5" x14ac:dyDescent="0.2">
      <c r="A16" t="s">
        <v>1</v>
      </c>
      <c r="B16">
        <v>3</v>
      </c>
      <c r="C16">
        <v>0</v>
      </c>
    </row>
    <row r="17" spans="1:3" x14ac:dyDescent="0.2">
      <c r="A17" t="s">
        <v>1</v>
      </c>
      <c r="B17">
        <v>4</v>
      </c>
      <c r="C17">
        <v>-10</v>
      </c>
    </row>
    <row r="18" spans="1:3" x14ac:dyDescent="0.2">
      <c r="A18" t="s">
        <v>1</v>
      </c>
      <c r="B18">
        <v>5</v>
      </c>
      <c r="C18">
        <v>-20</v>
      </c>
    </row>
    <row r="19" spans="1:3" x14ac:dyDescent="0.2">
      <c r="A19" t="s">
        <v>1</v>
      </c>
      <c r="B19">
        <v>5</v>
      </c>
      <c r="C19">
        <v>-20</v>
      </c>
    </row>
    <row r="20" spans="1:3" x14ac:dyDescent="0.2">
      <c r="A20" t="s">
        <v>80</v>
      </c>
      <c r="B20">
        <v>0</v>
      </c>
      <c r="C20">
        <v>10</v>
      </c>
    </row>
    <row r="21" spans="1:3" x14ac:dyDescent="0.2">
      <c r="A21" t="s">
        <v>80</v>
      </c>
      <c r="B21">
        <v>1</v>
      </c>
      <c r="C21">
        <v>-10</v>
      </c>
    </row>
    <row r="22" spans="1:3" x14ac:dyDescent="0.2">
      <c r="A22" t="s">
        <v>80</v>
      </c>
      <c r="B22">
        <v>2</v>
      </c>
      <c r="C22">
        <v>-20</v>
      </c>
    </row>
    <row r="23" spans="1:3" x14ac:dyDescent="0.2">
      <c r="A23" t="s">
        <v>80</v>
      </c>
      <c r="B23">
        <v>3</v>
      </c>
      <c r="C23">
        <v>-40</v>
      </c>
    </row>
    <row r="24" spans="1:3" x14ac:dyDescent="0.2">
      <c r="A24" t="s">
        <v>80</v>
      </c>
      <c r="B24">
        <v>4</v>
      </c>
      <c r="C24">
        <v>-80</v>
      </c>
    </row>
    <row r="25" spans="1:3" x14ac:dyDescent="0.2">
      <c r="A25" t="s">
        <v>80</v>
      </c>
      <c r="B25">
        <v>5</v>
      </c>
      <c r="C25">
        <v>-160</v>
      </c>
    </row>
    <row r="26" spans="1:3" x14ac:dyDescent="0.2">
      <c r="A26" t="s">
        <v>81</v>
      </c>
      <c r="B26">
        <v>1</v>
      </c>
      <c r="C26">
        <v>-1</v>
      </c>
    </row>
    <row r="27" spans="1:3" x14ac:dyDescent="0.2">
      <c r="A27" t="s">
        <v>81</v>
      </c>
      <c r="B27">
        <v>2</v>
      </c>
      <c r="C27">
        <f>+C26*2</f>
        <v>-2</v>
      </c>
    </row>
    <row r="28" spans="1:3" x14ac:dyDescent="0.2">
      <c r="A28" t="s">
        <v>81</v>
      </c>
      <c r="B28">
        <v>3</v>
      </c>
      <c r="C28">
        <f>+C27*2</f>
        <v>-4</v>
      </c>
    </row>
    <row r="29" spans="1:3" x14ac:dyDescent="0.2">
      <c r="A29" t="s">
        <v>81</v>
      </c>
      <c r="B29">
        <v>4</v>
      </c>
      <c r="C29">
        <f>+C28*2</f>
        <v>-8</v>
      </c>
    </row>
    <row r="30" spans="1:3" x14ac:dyDescent="0.2">
      <c r="A30" t="s">
        <v>82</v>
      </c>
      <c r="B30">
        <v>1</v>
      </c>
      <c r="C30">
        <v>-50</v>
      </c>
    </row>
    <row r="31" spans="1:3" x14ac:dyDescent="0.2">
      <c r="A31" t="s">
        <v>87</v>
      </c>
      <c r="B31">
        <v>1</v>
      </c>
      <c r="C31">
        <v>65</v>
      </c>
    </row>
    <row r="32" spans="1:3" x14ac:dyDescent="0.2">
      <c r="A32" t="s">
        <v>88</v>
      </c>
      <c r="B32">
        <v>0</v>
      </c>
      <c r="C32">
        <v>20</v>
      </c>
    </row>
    <row r="33" spans="1:3" x14ac:dyDescent="0.2">
      <c r="A33" t="s">
        <v>88</v>
      </c>
      <c r="B33">
        <v>1</v>
      </c>
      <c r="C33">
        <v>0</v>
      </c>
    </row>
    <row r="34" spans="1:3" x14ac:dyDescent="0.2">
      <c r="A34" t="s">
        <v>88</v>
      </c>
      <c r="B34">
        <v>2</v>
      </c>
      <c r="C34">
        <v>-20</v>
      </c>
    </row>
    <row r="35" spans="1:3" x14ac:dyDescent="0.2">
      <c r="A35" t="s">
        <v>88</v>
      </c>
      <c r="B35">
        <v>3</v>
      </c>
      <c r="C35">
        <v>-60</v>
      </c>
    </row>
    <row r="36" spans="1:3" x14ac:dyDescent="0.2">
      <c r="A36" t="s">
        <v>88</v>
      </c>
      <c r="B36">
        <v>4</v>
      </c>
      <c r="C36">
        <v>-100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A9DD-5344-4AFD-8E5D-E1460669ACF9}">
  <dimension ref="A1:C10"/>
  <sheetViews>
    <sheetView zoomScale="90" workbookViewId="0">
      <selection activeCell="P36" sqref="P36"/>
    </sheetView>
  </sheetViews>
  <sheetFormatPr baseColWidth="10" defaultColWidth="8.83203125" defaultRowHeight="15" x14ac:dyDescent="0.2"/>
  <cols>
    <col min="1" max="1" width="10.33203125" bestFit="1" customWidth="1"/>
    <col min="2" max="2" width="10.83203125" bestFit="1" customWidth="1"/>
    <col min="3" max="3" width="7.1640625" customWidth="1"/>
  </cols>
  <sheetData>
    <row r="1" spans="1:3" x14ac:dyDescent="0.2">
      <c r="A1" s="1" t="s">
        <v>83</v>
      </c>
      <c r="B1" s="1" t="s">
        <v>84</v>
      </c>
      <c r="C1" s="1" t="s">
        <v>77</v>
      </c>
    </row>
    <row r="2" spans="1:3" x14ac:dyDescent="0.2">
      <c r="A2">
        <v>1</v>
      </c>
      <c r="B2">
        <v>3</v>
      </c>
      <c r="C2">
        <v>-1000</v>
      </c>
    </row>
    <row r="3" spans="1:3" x14ac:dyDescent="0.2">
      <c r="A3">
        <v>1</v>
      </c>
      <c r="B3">
        <v>2</v>
      </c>
      <c r="C3">
        <v>-1000</v>
      </c>
    </row>
    <row r="4" spans="1:3" x14ac:dyDescent="0.2">
      <c r="A4">
        <v>2</v>
      </c>
      <c r="B4">
        <v>3</v>
      </c>
      <c r="C4">
        <v>-200</v>
      </c>
    </row>
    <row r="5" spans="1:3" x14ac:dyDescent="0.2">
      <c r="A5">
        <v>2</v>
      </c>
      <c r="B5">
        <v>1</v>
      </c>
      <c r="C5">
        <v>-50</v>
      </c>
    </row>
    <row r="6" spans="1:3" x14ac:dyDescent="0.2">
      <c r="A6">
        <v>3</v>
      </c>
      <c r="B6">
        <v>3</v>
      </c>
      <c r="C6">
        <v>100</v>
      </c>
    </row>
    <row r="7" spans="1:3" x14ac:dyDescent="0.2">
      <c r="A7">
        <v>2</v>
      </c>
      <c r="B7">
        <v>2</v>
      </c>
      <c r="C7">
        <v>100</v>
      </c>
    </row>
    <row r="8" spans="1:3" x14ac:dyDescent="0.2">
      <c r="A8">
        <v>1</v>
      </c>
      <c r="B8">
        <v>1</v>
      </c>
      <c r="C8">
        <v>100</v>
      </c>
    </row>
    <row r="9" spans="1:3" x14ac:dyDescent="0.2">
      <c r="A9">
        <v>3</v>
      </c>
      <c r="B9">
        <v>2</v>
      </c>
      <c r="C9">
        <v>-200</v>
      </c>
    </row>
    <row r="10" spans="1:3" x14ac:dyDescent="0.2">
      <c r="A10">
        <v>3</v>
      </c>
      <c r="B10">
        <v>1</v>
      </c>
      <c r="C10">
        <v>-200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FCF1-DD02-4616-AA4A-3FD405A6C41D}">
  <dimension ref="A1:C41"/>
  <sheetViews>
    <sheetView workbookViewId="0">
      <selection activeCell="H39" sqref="H39"/>
    </sheetView>
  </sheetViews>
  <sheetFormatPr baseColWidth="10" defaultColWidth="8.83203125" defaultRowHeight="15" x14ac:dyDescent="0.2"/>
  <cols>
    <col min="1" max="1" width="24.1640625" bestFit="1" customWidth="1"/>
    <col min="2" max="2" width="52.1640625" bestFit="1" customWidth="1"/>
  </cols>
  <sheetData>
    <row r="1" spans="1:3" x14ac:dyDescent="0.2">
      <c r="A1" s="4" t="s">
        <v>27</v>
      </c>
      <c r="B1" s="4"/>
      <c r="C1" s="4"/>
    </row>
    <row r="2" spans="1:3" x14ac:dyDescent="0.2">
      <c r="A2" t="s">
        <v>28</v>
      </c>
      <c r="B2" t="s">
        <v>29</v>
      </c>
      <c r="C2">
        <v>50</v>
      </c>
    </row>
    <row r="3" spans="1:3" x14ac:dyDescent="0.2">
      <c r="B3" t="s">
        <v>30</v>
      </c>
      <c r="C3">
        <v>30</v>
      </c>
    </row>
    <row r="4" spans="1:3" x14ac:dyDescent="0.2">
      <c r="B4" t="s">
        <v>31</v>
      </c>
      <c r="C4">
        <v>15</v>
      </c>
    </row>
    <row r="5" spans="1:3" x14ac:dyDescent="0.2">
      <c r="B5" t="s">
        <v>32</v>
      </c>
      <c r="C5">
        <v>-10</v>
      </c>
    </row>
    <row r="6" spans="1:3" x14ac:dyDescent="0.2">
      <c r="B6" t="s">
        <v>33</v>
      </c>
      <c r="C6">
        <v>-50</v>
      </c>
    </row>
    <row r="8" spans="1:3" x14ac:dyDescent="0.2">
      <c r="A8" t="s">
        <v>34</v>
      </c>
      <c r="B8" t="s">
        <v>35</v>
      </c>
      <c r="C8">
        <v>50</v>
      </c>
    </row>
    <row r="9" spans="1:3" x14ac:dyDescent="0.2">
      <c r="B9" t="s">
        <v>36</v>
      </c>
      <c r="C9">
        <v>25</v>
      </c>
    </row>
    <row r="10" spans="1:3" x14ac:dyDescent="0.2">
      <c r="B10" t="s">
        <v>37</v>
      </c>
      <c r="C10">
        <v>0</v>
      </c>
    </row>
    <row r="11" spans="1:3" x14ac:dyDescent="0.2">
      <c r="B11" t="s">
        <v>38</v>
      </c>
      <c r="C11">
        <v>-25</v>
      </c>
    </row>
    <row r="12" spans="1:3" x14ac:dyDescent="0.2">
      <c r="B12" t="s">
        <v>39</v>
      </c>
      <c r="C12">
        <v>-50</v>
      </c>
    </row>
    <row r="14" spans="1:3" x14ac:dyDescent="0.2">
      <c r="A14" t="s">
        <v>40</v>
      </c>
      <c r="B14" t="s">
        <v>41</v>
      </c>
      <c r="C14">
        <v>20</v>
      </c>
    </row>
    <row r="15" spans="1:3" x14ac:dyDescent="0.2">
      <c r="B15" t="s">
        <v>42</v>
      </c>
      <c r="C15">
        <v>10</v>
      </c>
    </row>
    <row r="16" spans="1:3" x14ac:dyDescent="0.2">
      <c r="B16" t="s">
        <v>43</v>
      </c>
      <c r="C16">
        <v>0</v>
      </c>
    </row>
    <row r="17" spans="1:3" x14ac:dyDescent="0.2">
      <c r="B17" t="s">
        <v>44</v>
      </c>
      <c r="C17">
        <v>-10</v>
      </c>
    </row>
    <row r="18" spans="1:3" x14ac:dyDescent="0.2">
      <c r="B18" t="s">
        <v>45</v>
      </c>
      <c r="C18">
        <v>-20</v>
      </c>
    </row>
    <row r="20" spans="1:3" x14ac:dyDescent="0.2">
      <c r="A20" t="s">
        <v>46</v>
      </c>
      <c r="B20" t="s">
        <v>47</v>
      </c>
      <c r="C20">
        <v>-10</v>
      </c>
    </row>
    <row r="21" spans="1:3" x14ac:dyDescent="0.2">
      <c r="B21" t="s">
        <v>48</v>
      </c>
      <c r="C21">
        <f>+C20*2</f>
        <v>-20</v>
      </c>
    </row>
    <row r="22" spans="1:3" x14ac:dyDescent="0.2">
      <c r="B22" t="s">
        <v>49</v>
      </c>
      <c r="C22">
        <f>+C21*2</f>
        <v>-40</v>
      </c>
    </row>
    <row r="23" spans="1:3" x14ac:dyDescent="0.2">
      <c r="B23" t="s">
        <v>50</v>
      </c>
      <c r="C23">
        <f>+C22*2</f>
        <v>-80</v>
      </c>
    </row>
    <row r="24" spans="1:3" x14ac:dyDescent="0.2">
      <c r="B24" t="s">
        <v>51</v>
      </c>
      <c r="C24">
        <f>+C23*2</f>
        <v>-160</v>
      </c>
    </row>
    <row r="26" spans="1:3" x14ac:dyDescent="0.2">
      <c r="A26" t="s">
        <v>52</v>
      </c>
      <c r="B26" t="s">
        <v>53</v>
      </c>
      <c r="C26">
        <v>-1</v>
      </c>
    </row>
    <row r="27" spans="1:3" x14ac:dyDescent="0.2">
      <c r="B27" t="s">
        <v>54</v>
      </c>
      <c r="C27">
        <f>+C26*2</f>
        <v>-2</v>
      </c>
    </row>
    <row r="28" spans="1:3" x14ac:dyDescent="0.2">
      <c r="B28" t="s">
        <v>55</v>
      </c>
      <c r="C28">
        <f>+C27*2</f>
        <v>-4</v>
      </c>
    </row>
    <row r="29" spans="1:3" x14ac:dyDescent="0.2">
      <c r="B29" t="s">
        <v>56</v>
      </c>
      <c r="C29">
        <f>+C28*2</f>
        <v>-8</v>
      </c>
    </row>
    <row r="31" spans="1:3" x14ac:dyDescent="0.2">
      <c r="A31" t="s">
        <v>57</v>
      </c>
      <c r="B31" t="s">
        <v>58</v>
      </c>
      <c r="C31">
        <v>-50</v>
      </c>
    </row>
    <row r="33" spans="1:3" x14ac:dyDescent="0.2">
      <c r="A33" t="s">
        <v>59</v>
      </c>
    </row>
    <row r="35" spans="1:3" x14ac:dyDescent="0.2">
      <c r="A35" t="s">
        <v>60</v>
      </c>
      <c r="B35" t="s">
        <v>85</v>
      </c>
      <c r="C35">
        <v>-1000</v>
      </c>
    </row>
    <row r="36" spans="1:3" x14ac:dyDescent="0.2">
      <c r="B36" t="s">
        <v>62</v>
      </c>
      <c r="C36">
        <v>-200</v>
      </c>
    </row>
    <row r="37" spans="1:3" x14ac:dyDescent="0.2">
      <c r="B37" t="s">
        <v>61</v>
      </c>
      <c r="C37">
        <v>-50</v>
      </c>
    </row>
    <row r="38" spans="1:3" x14ac:dyDescent="0.2">
      <c r="B38" t="s">
        <v>65</v>
      </c>
      <c r="C38">
        <v>1000</v>
      </c>
    </row>
    <row r="39" spans="1:3" x14ac:dyDescent="0.2">
      <c r="B39" t="s">
        <v>64</v>
      </c>
      <c r="C39">
        <v>100</v>
      </c>
    </row>
    <row r="40" spans="1:3" x14ac:dyDescent="0.2">
      <c r="B40" t="s">
        <v>63</v>
      </c>
      <c r="C40">
        <v>100</v>
      </c>
    </row>
    <row r="41" spans="1:3" x14ac:dyDescent="0.2">
      <c r="B41" t="s">
        <v>86</v>
      </c>
      <c r="C41">
        <v>-200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6"/>
  <sheetViews>
    <sheetView zoomScale="110" workbookViewId="0">
      <selection activeCell="I24" sqref="I24"/>
    </sheetView>
  </sheetViews>
  <sheetFormatPr baseColWidth="10" defaultColWidth="8.83203125" defaultRowHeight="15" x14ac:dyDescent="0.2"/>
  <cols>
    <col min="1" max="1" width="11.83203125" customWidth="1"/>
    <col min="2" max="2" width="12.83203125" bestFit="1" customWidth="1"/>
    <col min="3" max="3" width="11.83203125" customWidth="1"/>
    <col min="4" max="4" width="12.1640625" bestFit="1" customWidth="1"/>
    <col min="5" max="6" width="8.5" bestFit="1" customWidth="1"/>
    <col min="7" max="7" width="9.83203125" bestFit="1" customWidth="1"/>
  </cols>
  <sheetData>
    <row r="1" spans="1:7" x14ac:dyDescent="0.2">
      <c r="A1" s="1" t="s">
        <v>19</v>
      </c>
      <c r="B1" s="1" t="s">
        <v>70</v>
      </c>
      <c r="C1" s="1" t="s">
        <v>1</v>
      </c>
      <c r="D1" s="1" t="s">
        <v>26</v>
      </c>
      <c r="E1" s="1" t="s">
        <v>20</v>
      </c>
      <c r="F1" s="1" t="s">
        <v>21</v>
      </c>
      <c r="G1" s="1" t="s">
        <v>22</v>
      </c>
    </row>
    <row r="2" spans="1:7" x14ac:dyDescent="0.2">
      <c r="A2" t="s">
        <v>7</v>
      </c>
      <c r="B2" t="s">
        <v>71</v>
      </c>
      <c r="C2" t="s">
        <v>4</v>
      </c>
      <c r="D2">
        <v>90</v>
      </c>
      <c r="E2">
        <v>0</v>
      </c>
      <c r="F2">
        <v>0</v>
      </c>
      <c r="G2">
        <v>1</v>
      </c>
    </row>
    <row r="3" spans="1:7" x14ac:dyDescent="0.2">
      <c r="A3" t="s">
        <v>15</v>
      </c>
      <c r="B3" t="s">
        <v>72</v>
      </c>
      <c r="C3" t="s">
        <v>2</v>
      </c>
      <c r="D3">
        <v>70</v>
      </c>
      <c r="E3">
        <v>1</v>
      </c>
      <c r="F3">
        <v>2</v>
      </c>
      <c r="G3">
        <v>11</v>
      </c>
    </row>
    <row r="4" spans="1:7" x14ac:dyDescent="0.2">
      <c r="A4" t="s">
        <v>16</v>
      </c>
      <c r="B4" t="s">
        <v>72</v>
      </c>
      <c r="C4" t="s">
        <v>3</v>
      </c>
      <c r="D4">
        <v>80</v>
      </c>
      <c r="E4">
        <v>0</v>
      </c>
      <c r="F4">
        <v>1</v>
      </c>
      <c r="G4">
        <v>2</v>
      </c>
    </row>
    <row r="5" spans="1:7" x14ac:dyDescent="0.2">
      <c r="A5" t="s">
        <v>8</v>
      </c>
      <c r="B5" t="s">
        <v>74</v>
      </c>
      <c r="C5" t="s">
        <v>2</v>
      </c>
      <c r="D5">
        <v>50</v>
      </c>
      <c r="E5">
        <v>1</v>
      </c>
      <c r="F5">
        <v>3</v>
      </c>
      <c r="G5">
        <v>11</v>
      </c>
    </row>
    <row r="6" spans="1:7" x14ac:dyDescent="0.2">
      <c r="A6" t="s">
        <v>2</v>
      </c>
      <c r="B6" t="s">
        <v>74</v>
      </c>
      <c r="C6" t="s">
        <v>2</v>
      </c>
      <c r="D6">
        <v>70</v>
      </c>
      <c r="E6">
        <v>1</v>
      </c>
      <c r="F6">
        <v>4</v>
      </c>
      <c r="G6">
        <v>11</v>
      </c>
    </row>
    <row r="7" spans="1:7" x14ac:dyDescent="0.2">
      <c r="A7" t="s">
        <v>9</v>
      </c>
      <c r="B7" t="s">
        <v>71</v>
      </c>
      <c r="C7" t="s">
        <v>3</v>
      </c>
      <c r="D7">
        <v>100</v>
      </c>
      <c r="E7">
        <v>0</v>
      </c>
      <c r="F7">
        <v>0</v>
      </c>
      <c r="G7">
        <v>1</v>
      </c>
    </row>
    <row r="8" spans="1:7" x14ac:dyDescent="0.2">
      <c r="A8" t="s">
        <v>13</v>
      </c>
      <c r="B8" t="s">
        <v>73</v>
      </c>
      <c r="C8" t="s">
        <v>5</v>
      </c>
      <c r="D8">
        <v>70</v>
      </c>
      <c r="E8">
        <v>1</v>
      </c>
      <c r="F8">
        <v>2</v>
      </c>
      <c r="G8">
        <v>5</v>
      </c>
    </row>
    <row r="9" spans="1:7" x14ac:dyDescent="0.2">
      <c r="A9" t="s">
        <v>11</v>
      </c>
      <c r="B9" t="s">
        <v>71</v>
      </c>
      <c r="C9" t="s">
        <v>6</v>
      </c>
      <c r="D9">
        <v>80</v>
      </c>
      <c r="E9">
        <v>0</v>
      </c>
      <c r="F9">
        <v>0</v>
      </c>
      <c r="G9">
        <v>1</v>
      </c>
    </row>
    <row r="10" spans="1:7" x14ac:dyDescent="0.2">
      <c r="A10" t="s">
        <v>12</v>
      </c>
      <c r="B10" t="s">
        <v>73</v>
      </c>
      <c r="C10" t="s">
        <v>2</v>
      </c>
      <c r="D10">
        <v>50</v>
      </c>
      <c r="E10">
        <v>1</v>
      </c>
      <c r="F10">
        <v>6</v>
      </c>
      <c r="G10">
        <v>11</v>
      </c>
    </row>
    <row r="11" spans="1:7" x14ac:dyDescent="0.2">
      <c r="A11" t="s">
        <v>14</v>
      </c>
      <c r="B11" t="s">
        <v>14</v>
      </c>
      <c r="C11" t="s">
        <v>14</v>
      </c>
      <c r="D11">
        <v>100</v>
      </c>
      <c r="E11">
        <v>0</v>
      </c>
      <c r="F11">
        <v>0</v>
      </c>
      <c r="G11">
        <v>0</v>
      </c>
    </row>
    <row r="12" spans="1:7" x14ac:dyDescent="0.2">
      <c r="A12" t="s">
        <v>5</v>
      </c>
      <c r="B12" t="s">
        <v>74</v>
      </c>
      <c r="C12" t="s">
        <v>5</v>
      </c>
      <c r="D12">
        <v>80</v>
      </c>
      <c r="E12">
        <v>1</v>
      </c>
      <c r="F12">
        <v>1</v>
      </c>
      <c r="G12">
        <v>3</v>
      </c>
    </row>
    <row r="13" spans="1:7" x14ac:dyDescent="0.2">
      <c r="A13" t="s">
        <v>3</v>
      </c>
      <c r="B13" t="s">
        <v>74</v>
      </c>
      <c r="C13" t="s">
        <v>3</v>
      </c>
      <c r="D13">
        <v>40</v>
      </c>
      <c r="E13">
        <v>0</v>
      </c>
      <c r="F13">
        <v>1</v>
      </c>
      <c r="G13">
        <v>2</v>
      </c>
    </row>
    <row r="14" spans="1:7" x14ac:dyDescent="0.2">
      <c r="A14" t="s">
        <v>17</v>
      </c>
      <c r="B14" t="s">
        <v>73</v>
      </c>
      <c r="C14" t="s">
        <v>6</v>
      </c>
      <c r="D14">
        <v>60</v>
      </c>
      <c r="E14">
        <v>1</v>
      </c>
      <c r="F14">
        <v>1</v>
      </c>
      <c r="G14">
        <v>4</v>
      </c>
    </row>
    <row r="15" spans="1:7" x14ac:dyDescent="0.2">
      <c r="A15" t="s">
        <v>6</v>
      </c>
      <c r="B15" t="s">
        <v>74</v>
      </c>
      <c r="C15" t="s">
        <v>6</v>
      </c>
      <c r="D15">
        <v>80</v>
      </c>
      <c r="E15">
        <v>1</v>
      </c>
      <c r="F15">
        <v>0</v>
      </c>
      <c r="G15">
        <v>3</v>
      </c>
    </row>
    <row r="16" spans="1:7" x14ac:dyDescent="0.2">
      <c r="A16" t="s">
        <v>18</v>
      </c>
      <c r="B16" t="s">
        <v>71</v>
      </c>
      <c r="C16" t="s">
        <v>18</v>
      </c>
      <c r="D16">
        <v>60</v>
      </c>
      <c r="E16">
        <v>0</v>
      </c>
      <c r="F16">
        <v>0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Events</vt:lpstr>
      <vt:lpstr>Employees</vt:lpstr>
      <vt:lpstr>DaysOff</vt:lpstr>
      <vt:lpstr>EventReq</vt:lpstr>
      <vt:lpstr>ScoreKeys</vt:lpstr>
      <vt:lpstr>SkillsetScores</vt:lpstr>
      <vt:lpstr>Score krass</vt:lpstr>
      <vt:lpstr>EventTypes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Sara Björk Ragnarsdóttir</cp:lastModifiedBy>
  <dcterms:created xsi:type="dcterms:W3CDTF">2026-02-08T13:27:47Z</dcterms:created>
  <dcterms:modified xsi:type="dcterms:W3CDTF">2026-04-30T10:37:00Z</dcterms:modified>
</cp:coreProperties>
</file>