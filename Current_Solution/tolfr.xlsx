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agnarsdottir/Library/CloudStorage/OneDrive-ReykjavikUniversity/HR vor 2026/verkfr x/"/>
    </mc:Choice>
  </mc:AlternateContent>
  <xr:revisionPtr revIDLastSave="0" documentId="13_ncr:1_{CB82C749-F6C9-EF4B-856E-B161D7C25E9C}" xr6:coauthVersionLast="47" xr6:coauthVersionMax="47" xr10:uidLastSave="{00000000-0000-0000-0000-000000000000}"/>
  <bookViews>
    <workbookView xWindow="-2700" yWindow="760" windowWidth="29000" windowHeight="17160" activeTab="2" xr2:uid="{936F0170-C818-8748-95D6-B9EFAFCA5A4F}"/>
  </bookViews>
  <sheets>
    <sheet name="mars" sheetId="1" r:id="rId1"/>
    <sheet name="apríl" sheetId="2" r:id="rId2"/>
    <sheet name="marsvaktir" sheetId="3" r:id="rId3"/>
    <sheet name="aprílvaktir" sheetId="4" r:id="rId4"/>
  </sheets>
  <externalReferences>
    <externalReference r:id="rId5"/>
    <externalReference r:id="rId6"/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4" l="1"/>
  <c r="M19" i="4" a="1"/>
  <c r="M19" i="4" s="1"/>
  <c r="M36" i="4" a="1"/>
  <c r="M36" i="4" s="1"/>
  <c r="M35" i="4" a="1"/>
  <c r="M35" i="4" s="1"/>
  <c r="M34" i="4" a="1"/>
  <c r="M34" i="4" s="1"/>
  <c r="M33" i="4" a="1"/>
  <c r="M33" i="4" s="1"/>
  <c r="M32" i="4" a="1"/>
  <c r="M32" i="4" s="1"/>
  <c r="M30" i="4"/>
  <c r="M29" i="4"/>
  <c r="M28" i="4" a="1"/>
  <c r="M28" i="4" s="1"/>
  <c r="M27" i="4"/>
  <c r="M26" i="4" a="1"/>
  <c r="M26" i="4" s="1"/>
  <c r="M25" i="4" a="1"/>
  <c r="M25" i="4" s="1"/>
  <c r="M24" i="4" a="1"/>
  <c r="M24" i="4" s="1"/>
  <c r="M23" i="4"/>
  <c r="M22" i="4" a="1"/>
  <c r="M22" i="4" s="1"/>
  <c r="M21" i="4" a="1"/>
  <c r="M21" i="4" s="1"/>
  <c r="M20" i="4" a="1"/>
  <c r="M20" i="4" s="1"/>
  <c r="M18" i="4" a="1"/>
  <c r="M18" i="4" s="1"/>
  <c r="M17" i="4" a="1"/>
  <c r="M17" i="4" s="1"/>
  <c r="M16" i="4"/>
  <c r="M15" i="4"/>
  <c r="M14" i="4"/>
  <c r="M13" i="4"/>
  <c r="M12" i="4" a="1"/>
  <c r="M12" i="4" s="1"/>
  <c r="M11" i="4" a="1"/>
  <c r="M11" i="4" s="1"/>
  <c r="M10" i="4" a="1"/>
  <c r="M10" i="4" s="1"/>
  <c r="M9" i="4" a="1"/>
  <c r="M9" i="4" s="1"/>
  <c r="M8" i="4"/>
  <c r="M7" i="4" a="1"/>
  <c r="M7" i="4" s="1"/>
  <c r="M6" i="4" a="1"/>
  <c r="M6" i="4" s="1"/>
  <c r="M5" i="4"/>
  <c r="M4" i="4" a="1"/>
  <c r="M4" i="4" s="1"/>
  <c r="M3" i="4" a="1"/>
  <c r="M3" i="4" s="1"/>
  <c r="M2" i="4" a="1"/>
  <c r="M2" i="4" s="1"/>
  <c r="F36" i="4"/>
  <c r="E36" i="4"/>
  <c r="D36" i="4"/>
  <c r="H35" i="4"/>
  <c r="G35" i="4"/>
  <c r="F35" i="4"/>
  <c r="E35" i="4"/>
  <c r="D35" i="4"/>
  <c r="H34" i="4"/>
  <c r="F34" i="4"/>
  <c r="E34" i="4"/>
  <c r="D34" i="4"/>
  <c r="H33" i="4"/>
  <c r="G33" i="4"/>
  <c r="F33" i="4"/>
  <c r="E33" i="4"/>
  <c r="D33" i="4"/>
  <c r="H32" i="4"/>
  <c r="G32" i="4"/>
  <c r="F32" i="4"/>
  <c r="E32" i="4"/>
  <c r="D32" i="4"/>
  <c r="H31" i="4"/>
  <c r="G31" i="4"/>
  <c r="F31" i="4"/>
  <c r="E31" i="4"/>
  <c r="D31" i="4"/>
  <c r="H30" i="4"/>
  <c r="G30" i="4"/>
  <c r="F30" i="4"/>
  <c r="E30" i="4"/>
  <c r="D30" i="4"/>
  <c r="H29" i="4"/>
  <c r="G29" i="4"/>
  <c r="F29" i="4"/>
  <c r="E29" i="4"/>
  <c r="D29" i="4"/>
  <c r="H28" i="4"/>
  <c r="G28" i="4"/>
  <c r="F28" i="4"/>
  <c r="E28" i="4"/>
  <c r="D28" i="4"/>
  <c r="H27" i="4"/>
  <c r="G27" i="4"/>
  <c r="F27" i="4"/>
  <c r="E27" i="4"/>
  <c r="D27" i="4"/>
  <c r="H26" i="4"/>
  <c r="F26" i="4"/>
  <c r="E26" i="4"/>
  <c r="D26" i="4"/>
  <c r="H25" i="4"/>
  <c r="F25" i="4"/>
  <c r="E25" i="4"/>
  <c r="D25" i="4"/>
  <c r="H24" i="4"/>
  <c r="F24" i="4"/>
  <c r="E24" i="4"/>
  <c r="D24" i="4"/>
  <c r="H23" i="4"/>
  <c r="F23" i="4"/>
  <c r="E23" i="4"/>
  <c r="D23" i="4"/>
  <c r="H22" i="4"/>
  <c r="G22" i="4"/>
  <c r="F22" i="4"/>
  <c r="E22" i="4"/>
  <c r="D22" i="4"/>
  <c r="H21" i="4"/>
  <c r="F21" i="4"/>
  <c r="E21" i="4"/>
  <c r="D21" i="4"/>
  <c r="H20" i="4"/>
  <c r="G20" i="4"/>
  <c r="F20" i="4"/>
  <c r="E20" i="4"/>
  <c r="D20" i="4"/>
  <c r="H19" i="4"/>
  <c r="G19" i="4"/>
  <c r="F19" i="4"/>
  <c r="E19" i="4"/>
  <c r="D19" i="4"/>
  <c r="I18" i="4"/>
  <c r="H18" i="4"/>
  <c r="G18" i="4"/>
  <c r="F18" i="4"/>
  <c r="E18" i="4"/>
  <c r="D18" i="4"/>
  <c r="H17" i="4"/>
  <c r="G17" i="4"/>
  <c r="F17" i="4"/>
  <c r="E17" i="4"/>
  <c r="D17" i="4"/>
  <c r="I16" i="4"/>
  <c r="H16" i="4"/>
  <c r="G16" i="4"/>
  <c r="F16" i="4"/>
  <c r="E16" i="4"/>
  <c r="D16" i="4"/>
  <c r="H15" i="4"/>
  <c r="G15" i="4"/>
  <c r="F15" i="4"/>
  <c r="E15" i="4"/>
  <c r="D15" i="4"/>
  <c r="H14" i="4"/>
  <c r="F14" i="4"/>
  <c r="E14" i="4"/>
  <c r="D14" i="4"/>
  <c r="H13" i="4"/>
  <c r="G13" i="4"/>
  <c r="F13" i="4"/>
  <c r="E13" i="4"/>
  <c r="D13" i="4"/>
  <c r="H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I9" i="4"/>
  <c r="H9" i="4"/>
  <c r="G9" i="4"/>
  <c r="F9" i="4"/>
  <c r="E9" i="4"/>
  <c r="D9" i="4"/>
  <c r="I8" i="4"/>
  <c r="H8" i="4"/>
  <c r="G8" i="4"/>
  <c r="F8" i="4"/>
  <c r="E8" i="4"/>
  <c r="D8" i="4"/>
  <c r="H7" i="4"/>
  <c r="G7" i="4"/>
  <c r="F7" i="4"/>
  <c r="E7" i="4"/>
  <c r="D7" i="4"/>
  <c r="H6" i="4"/>
  <c r="G6" i="4"/>
  <c r="F6" i="4"/>
  <c r="E6" i="4"/>
  <c r="D6" i="4"/>
  <c r="H5" i="4"/>
  <c r="F5" i="4"/>
  <c r="E5" i="4"/>
  <c r="D5" i="4"/>
  <c r="H4" i="4"/>
  <c r="G4" i="4"/>
  <c r="F4" i="4"/>
  <c r="E4" i="4"/>
  <c r="D4" i="4"/>
  <c r="H3" i="4"/>
  <c r="F3" i="4"/>
  <c r="E3" i="4"/>
  <c r="D3" i="4"/>
  <c r="I2" i="4"/>
  <c r="H2" i="4"/>
  <c r="G2" i="4"/>
  <c r="F2" i="4"/>
  <c r="E2" i="4"/>
  <c r="D2" i="4"/>
  <c r="M40" i="3" a="1"/>
  <c r="M40" i="3" s="1"/>
  <c r="M43" i="3"/>
  <c r="M42" i="3" a="1"/>
  <c r="M42" i="3" s="1"/>
  <c r="M41" i="3"/>
  <c r="M39" i="3"/>
  <c r="M38" i="3" a="1"/>
  <c r="M38" i="3" s="1"/>
  <c r="M37" i="3"/>
  <c r="M36" i="3" a="1"/>
  <c r="M36" i="3" s="1"/>
  <c r="M35" i="3"/>
  <c r="M34" i="3"/>
  <c r="M33" i="3"/>
  <c r="M32" i="3"/>
  <c r="M31" i="3"/>
  <c r="M30" i="3" a="1"/>
  <c r="M30" i="3" s="1"/>
  <c r="M29" i="3" a="1"/>
  <c r="M29" i="3" s="1"/>
  <c r="M28" i="3" a="1"/>
  <c r="M28" i="3" s="1"/>
  <c r="M27" i="3"/>
  <c r="M26" i="3" a="1"/>
  <c r="M26" i="3" s="1"/>
  <c r="M25" i="3"/>
  <c r="M24" i="3" a="1"/>
  <c r="M24" i="3" s="1"/>
  <c r="M23" i="3" a="1"/>
  <c r="M23" i="3" s="1"/>
  <c r="M22" i="3" a="1"/>
  <c r="M22" i="3" s="1"/>
  <c r="M21" i="3" a="1"/>
  <c r="M21" i="3" s="1"/>
  <c r="M20" i="3"/>
  <c r="M19" i="3" a="1"/>
  <c r="M19" i="3" s="1"/>
  <c r="M18" i="3"/>
  <c r="M17" i="3"/>
  <c r="M16" i="3" a="1"/>
  <c r="M16" i="3" s="1"/>
  <c r="M15" i="3" a="1"/>
  <c r="M15" i="3" s="1"/>
  <c r="M14" i="3" a="1"/>
  <c r="M14" i="3" s="1"/>
  <c r="M13" i="3" a="1"/>
  <c r="M13" i="3" s="1"/>
  <c r="M12" i="3" a="1"/>
  <c r="M12" i="3" s="1"/>
  <c r="M11" i="3" a="1"/>
  <c r="M11" i="3" s="1"/>
  <c r="M10" i="3" a="1"/>
  <c r="M10" i="3" s="1"/>
  <c r="M9" i="3" a="1"/>
  <c r="M9" i="3" s="1"/>
  <c r="M8" i="3" a="1"/>
  <c r="M8" i="3" s="1"/>
  <c r="M7" i="3" a="1"/>
  <c r="M7" i="3" s="1"/>
  <c r="M6" i="3" a="1"/>
  <c r="M6" i="3" s="1"/>
  <c r="M5" i="3" a="1"/>
  <c r="M5" i="3" s="1"/>
  <c r="M4" i="3" a="1"/>
  <c r="M4" i="3" s="1"/>
  <c r="M3" i="3" a="1"/>
  <c r="M3" i="3" s="1"/>
  <c r="M2" i="3" a="1"/>
  <c r="M2" i="3" s="1"/>
  <c r="H43" i="3"/>
  <c r="F43" i="3"/>
  <c r="E43" i="3"/>
  <c r="D43" i="3"/>
  <c r="H42" i="3"/>
  <c r="F42" i="3"/>
  <c r="E42" i="3"/>
  <c r="D42" i="3"/>
  <c r="H41" i="3"/>
  <c r="G41" i="3"/>
  <c r="F41" i="3"/>
  <c r="E41" i="3"/>
  <c r="D41" i="3"/>
  <c r="H40" i="3"/>
  <c r="G40" i="3"/>
  <c r="F40" i="3"/>
  <c r="E40" i="3"/>
  <c r="D40" i="3"/>
  <c r="H39" i="3"/>
  <c r="F39" i="3"/>
  <c r="E39" i="3"/>
  <c r="D39" i="3"/>
  <c r="H38" i="3"/>
  <c r="G38" i="3"/>
  <c r="F38" i="3"/>
  <c r="E38" i="3"/>
  <c r="D38" i="3"/>
  <c r="H37" i="3"/>
  <c r="F37" i="3"/>
  <c r="E37" i="3"/>
  <c r="D37" i="3"/>
  <c r="H36" i="3"/>
  <c r="F36" i="3"/>
  <c r="E36" i="3"/>
  <c r="D36" i="3"/>
  <c r="H35" i="3"/>
  <c r="F35" i="3"/>
  <c r="E35" i="3"/>
  <c r="D35" i="3"/>
  <c r="H34" i="3"/>
  <c r="F34" i="3"/>
  <c r="E34" i="3"/>
  <c r="D34" i="3"/>
  <c r="H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F29" i="3"/>
  <c r="E29" i="3"/>
  <c r="D29" i="3"/>
  <c r="H28" i="3"/>
  <c r="G28" i="3"/>
  <c r="F28" i="3"/>
  <c r="E28" i="3"/>
  <c r="D28" i="3"/>
  <c r="H27" i="3"/>
  <c r="G27" i="3"/>
  <c r="F27" i="3"/>
  <c r="E27" i="3"/>
  <c r="D27" i="3"/>
  <c r="H26" i="3"/>
  <c r="G26" i="3"/>
  <c r="F26" i="3"/>
  <c r="E26" i="3"/>
  <c r="D26" i="3"/>
  <c r="H25" i="3"/>
  <c r="G25" i="3"/>
  <c r="F25" i="3"/>
  <c r="E25" i="3"/>
  <c r="D25" i="3"/>
  <c r="H24" i="3"/>
  <c r="G24" i="3"/>
  <c r="F24" i="3"/>
  <c r="E24" i="3"/>
  <c r="D24" i="3"/>
  <c r="H23" i="3"/>
  <c r="F23" i="3"/>
  <c r="E23" i="3"/>
  <c r="D23" i="3"/>
  <c r="H22" i="3"/>
  <c r="F22" i="3"/>
  <c r="E22" i="3"/>
  <c r="D22" i="3"/>
  <c r="H21" i="3"/>
  <c r="F21" i="3"/>
  <c r="E21" i="3"/>
  <c r="D21" i="3"/>
  <c r="H20" i="3"/>
  <c r="F20" i="3"/>
  <c r="E20" i="3"/>
  <c r="D20" i="3"/>
  <c r="H19" i="3"/>
  <c r="F19" i="3"/>
  <c r="E19" i="3"/>
  <c r="D19" i="3"/>
  <c r="H18" i="3"/>
  <c r="F18" i="3"/>
  <c r="E18" i="3"/>
  <c r="D18" i="3"/>
  <c r="H17" i="3"/>
  <c r="F17" i="3"/>
  <c r="E17" i="3"/>
  <c r="D17" i="3"/>
  <c r="H16" i="3"/>
  <c r="G16" i="3"/>
  <c r="F16" i="3"/>
  <c r="E16" i="3"/>
  <c r="D16" i="3"/>
  <c r="H15" i="3"/>
  <c r="G15" i="3"/>
  <c r="F15" i="3"/>
  <c r="E15" i="3"/>
  <c r="D15" i="3"/>
  <c r="H14" i="3"/>
  <c r="F14" i="3"/>
  <c r="E14" i="3"/>
  <c r="D14" i="3"/>
  <c r="H13" i="3"/>
  <c r="G13" i="3"/>
  <c r="F13" i="3"/>
  <c r="E13" i="3"/>
  <c r="D13" i="3"/>
  <c r="H12" i="3"/>
  <c r="F12" i="3"/>
  <c r="E12" i="3"/>
  <c r="D12" i="3"/>
  <c r="H11" i="3"/>
  <c r="G11" i="3"/>
  <c r="F11" i="3"/>
  <c r="E11" i="3"/>
  <c r="D11" i="3"/>
  <c r="H10" i="3"/>
  <c r="G10" i="3"/>
  <c r="F10" i="3"/>
  <c r="E10" i="3"/>
  <c r="D10" i="3"/>
  <c r="I9" i="3"/>
  <c r="H9" i="3"/>
  <c r="G9" i="3"/>
  <c r="F9" i="3"/>
  <c r="E9" i="3"/>
  <c r="D9" i="3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H5" i="3"/>
  <c r="F5" i="3"/>
  <c r="E5" i="3"/>
  <c r="D5" i="3"/>
  <c r="H4" i="3"/>
  <c r="G4" i="3"/>
  <c r="F4" i="3"/>
  <c r="E4" i="3"/>
  <c r="D4" i="3"/>
  <c r="H3" i="3"/>
  <c r="F3" i="3"/>
  <c r="E3" i="3"/>
  <c r="D3" i="3"/>
  <c r="H2" i="3"/>
  <c r="G2" i="3"/>
  <c r="F2" i="3"/>
  <c r="E2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<sst xmlns="http://schemas.openxmlformats.org/spreadsheetml/2006/main" count="445" uniqueCount="158">
  <si>
    <t>EmployeeID</t>
  </si>
  <si>
    <t>EmployeeName</t>
  </si>
  <si>
    <t>Agnes Anna</t>
  </si>
  <si>
    <t xml:space="preserve">Alda/ Miðó </t>
  </si>
  <si>
    <t xml:space="preserve">Anna Soffía </t>
  </si>
  <si>
    <t>Arnar Ragn</t>
  </si>
  <si>
    <t xml:space="preserve">Auður </t>
  </si>
  <si>
    <t>Ágústa</t>
  </si>
  <si>
    <t>Daníel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</si>
  <si>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</si>
  <si>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</si>
  <si>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</si>
  <si>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</si>
  <si>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</si>
  <si>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</si>
  <si>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</si>
  <si>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</si>
  <si>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</si>
  <si>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</si>
  <si>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</si>
  <si>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</si>
  <si>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</si>
  <si>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>Magnea</t>
  </si>
  <si>
    <t xml:space="preserve">Magnús  </t>
  </si>
  <si>
    <t>Margrét Lára</t>
  </si>
  <si>
    <t>Orri</t>
  </si>
  <si>
    <t>Palli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</si>
  <si>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</si>
  <si>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</si>
  <si>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</si>
  <si>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</si>
  <si>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</si>
  <si>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</si>
  <si>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</si>
  <si>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</si>
  <si>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>Vero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</si>
  <si>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</si>
  <si>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</si>
  <si>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</si>
  <si>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</si>
  <si>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</si>
  <si>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</si>
  <si>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</si>
  <si>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total shifts</t>
  </si>
  <si>
    <t>total hours</t>
  </si>
  <si>
    <t>EventID</t>
  </si>
  <si>
    <t>Event</t>
  </si>
  <si>
    <t>EventType</t>
  </si>
  <si>
    <t>EventCategory</t>
  </si>
  <si>
    <t>EventRanking</t>
  </si>
  <si>
    <t>Hall</t>
  </si>
  <si>
    <t>Skillset1</t>
  </si>
  <si>
    <t>Skillset2</t>
  </si>
  <si>
    <t>Employees</t>
  </si>
  <si>
    <t>Date</t>
  </si>
  <si>
    <t>ShiftBegins</t>
  </si>
  <si>
    <t>ShiftEnds</t>
  </si>
  <si>
    <t>JS</t>
  </si>
  <si>
    <t>EB</t>
  </si>
  <si>
    <t>Sinfó</t>
  </si>
  <si>
    <t>Tón</t>
  </si>
  <si>
    <t>KL</t>
  </si>
  <si>
    <t>RMF</t>
  </si>
  <si>
    <t>NL</t>
  </si>
  <si>
    <t>HAM</t>
  </si>
  <si>
    <t>Partý EB</t>
  </si>
  <si>
    <t>IS</t>
  </si>
  <si>
    <t>Fatahengi</t>
  </si>
  <si>
    <t>PD</t>
  </si>
  <si>
    <t>SB</t>
  </si>
  <si>
    <t>GB</t>
  </si>
  <si>
    <t>ITV</t>
  </si>
  <si>
    <t>DS</t>
  </si>
  <si>
    <t>MT</t>
  </si>
  <si>
    <t>PF</t>
  </si>
  <si>
    <t>RP</t>
  </si>
  <si>
    <t>Fam</t>
  </si>
  <si>
    <t>HT</t>
  </si>
  <si>
    <t>How To</t>
  </si>
  <si>
    <t>EÁ</t>
  </si>
  <si>
    <t>Barna KL</t>
  </si>
  <si>
    <t>Múlinn</t>
  </si>
  <si>
    <t>UR</t>
  </si>
  <si>
    <t>KD</t>
  </si>
  <si>
    <t>JN</t>
  </si>
  <si>
    <t>K&amp;B</t>
  </si>
  <si>
    <t>Svef</t>
  </si>
  <si>
    <t>Sígildir</t>
  </si>
  <si>
    <t>tón</t>
  </si>
  <si>
    <t>ÖL</t>
  </si>
  <si>
    <t>RF</t>
  </si>
  <si>
    <t>Starfsmaður</t>
  </si>
  <si>
    <t>Vaktir</t>
  </si>
  <si>
    <t>Klst</t>
  </si>
  <si>
    <t>Stig</t>
  </si>
  <si>
    <t>Arnar</t>
  </si>
  <si>
    <t>23.0</t>
  </si>
  <si>
    <t>Katrín S</t>
  </si>
  <si>
    <t>Jórunn</t>
  </si>
  <si>
    <t>Gaukur</t>
  </si>
  <si>
    <t>Sigríður</t>
  </si>
  <si>
    <t>Auður</t>
  </si>
  <si>
    <t>21.0</t>
  </si>
  <si>
    <t>Védís</t>
  </si>
  <si>
    <t>Jara</t>
  </si>
  <si>
    <t>22.0</t>
  </si>
  <si>
    <t>Elmar</t>
  </si>
  <si>
    <t>Hrannar</t>
  </si>
  <si>
    <t>Anna Soffía</t>
  </si>
  <si>
    <t>Sara Júlía</t>
  </si>
  <si>
    <t>19.0</t>
  </si>
  <si>
    <t>Magnús</t>
  </si>
  <si>
    <t>18.0</t>
  </si>
  <si>
    <t>Rut</t>
  </si>
  <si>
    <t>Veró</t>
  </si>
  <si>
    <t>Unnar</t>
  </si>
  <si>
    <t>Erna</t>
  </si>
  <si>
    <t>Valdís</t>
  </si>
  <si>
    <t>Agga</t>
  </si>
  <si>
    <t>4.0</t>
  </si>
  <si>
    <t>Alda</t>
  </si>
  <si>
    <t>14.0</t>
  </si>
  <si>
    <t>13.0</t>
  </si>
  <si>
    <t>Arnar V</t>
  </si>
  <si>
    <t>16.0</t>
  </si>
  <si>
    <t>Elísabet</t>
  </si>
  <si>
    <t>3.0</t>
  </si>
  <si>
    <t>Guðný</t>
  </si>
  <si>
    <t>Hófý</t>
  </si>
  <si>
    <t>11.0</t>
  </si>
  <si>
    <t>24.0</t>
  </si>
  <si>
    <t>Jói</t>
  </si>
  <si>
    <t>Katrín B</t>
  </si>
  <si>
    <t>Katrín H</t>
  </si>
  <si>
    <t>7.0</t>
  </si>
  <si>
    <t>Laufey</t>
  </si>
  <si>
    <t>17.0</t>
  </si>
  <si>
    <t>Róbert</t>
  </si>
  <si>
    <t>Selma</t>
  </si>
  <si>
    <t>Sæmundur</t>
  </si>
  <si>
    <t>Þórey</t>
  </si>
  <si>
    <t>VH</t>
  </si>
  <si>
    <t>PL</t>
  </si>
  <si>
    <t>Party NL</t>
  </si>
  <si>
    <t>Upprás</t>
  </si>
  <si>
    <t>IA</t>
  </si>
  <si>
    <t>NB</t>
  </si>
  <si>
    <t>DWC</t>
  </si>
  <si>
    <t>SÍ</t>
  </si>
  <si>
    <t>KP</t>
  </si>
  <si>
    <t>UpT</t>
  </si>
  <si>
    <t>LR</t>
  </si>
  <si>
    <t>FB</t>
  </si>
  <si>
    <t>SR</t>
  </si>
  <si>
    <t>DP</t>
  </si>
  <si>
    <t>VR</t>
  </si>
  <si>
    <t>10.0</t>
  </si>
  <si>
    <t>Agnes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</si>
</sst>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16" fontId="0" fillId="0" borderId="0" xfId="0" applyNumberFormat="1"/>
    <xf numFmtId="0" fontId="0" fillId="2" borderId="0" xfId="0" applyFill="1"/>
    <xf numFmtId="16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0" fontId="0" fillId="2" borderId="0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raragnarsdottir/Library/CloudStorage/OneDrive-ReykjavikUniversity/HR%20vor%202026/verkfr%20x/03_26.xlsx" TargetMode="External"/><Relationship Id="rId1" Type="http://schemas.openxmlformats.org/officeDocument/2006/relationships/externalLinkPath" Target="03_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raragnarsdottir/Library/CloudStorage/OneDrive-ReykjavikUniversity/HR%20vor%202026/verkfr%20x/vaktir&#254;ora.xlsx" TargetMode="External"/><Relationship Id="rId1" Type="http://schemas.openxmlformats.org/officeDocument/2006/relationships/externalLinkPath" Target="vaktir&#254;or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raragnarsdottir/Library/CloudStorage/OneDrive-ReykjavikUniversity/HR%20vor%202026/verkfr%20x/04_26.xlsx" TargetMode="External"/><Relationship Id="rId1" Type="http://schemas.openxmlformats.org/officeDocument/2006/relationships/externalLinkPath" Target="04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ents"/>
      <sheetName val="Employees"/>
      <sheetName val="DaysOff"/>
      <sheetName val="EventReq"/>
      <sheetName val="ScoreKeys"/>
      <sheetName val="SkillsetScores"/>
      <sheetName val="Score krass"/>
      <sheetName val="EventTyp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EventType</v>
          </cell>
          <cell r="B1" t="str">
            <v>EventCategory</v>
          </cell>
          <cell r="C1" t="str">
            <v>Hall</v>
          </cell>
          <cell r="D1" t="str">
            <v>EventRanking</v>
          </cell>
          <cell r="E1" t="str">
            <v>Skillset1</v>
          </cell>
          <cell r="F1" t="str">
            <v>Skillset2</v>
          </cell>
          <cell r="G1" t="str">
            <v>Employees</v>
          </cell>
        </row>
        <row r="2">
          <cell r="A2" t="str">
            <v>Múlinn</v>
          </cell>
          <cell r="B2" t="str">
            <v>Solo</v>
          </cell>
          <cell r="C2" t="str">
            <v>BL</v>
          </cell>
          <cell r="D2">
            <v>90</v>
          </cell>
          <cell r="E2">
            <v>0</v>
          </cell>
          <cell r="F2">
            <v>0</v>
          </cell>
          <cell r="G2">
            <v>1</v>
          </cell>
        </row>
        <row r="3">
          <cell r="A3" t="str">
            <v>Barna EB</v>
          </cell>
          <cell r="B3" t="str">
            <v>Barna</v>
          </cell>
          <cell r="C3" t="str">
            <v>EB</v>
          </cell>
          <cell r="D3">
            <v>70</v>
          </cell>
          <cell r="E3">
            <v>1</v>
          </cell>
          <cell r="F3">
            <v>2</v>
          </cell>
          <cell r="G3">
            <v>11</v>
          </cell>
        </row>
        <row r="4">
          <cell r="A4" t="str">
            <v>Barna KL</v>
          </cell>
          <cell r="B4" t="str">
            <v>Barna</v>
          </cell>
          <cell r="C4" t="str">
            <v>KL</v>
          </cell>
          <cell r="D4">
            <v>80</v>
          </cell>
          <cell r="E4">
            <v>0</v>
          </cell>
          <cell r="F4">
            <v>1</v>
          </cell>
          <cell r="G4">
            <v>2</v>
          </cell>
        </row>
        <row r="5">
          <cell r="A5" t="str">
            <v>Sinfó</v>
          </cell>
          <cell r="B5" t="str">
            <v>Basic</v>
          </cell>
          <cell r="C5" t="str">
            <v>EB</v>
          </cell>
          <cell r="D5">
            <v>50</v>
          </cell>
          <cell r="E5">
            <v>1</v>
          </cell>
          <cell r="F5">
            <v>3</v>
          </cell>
          <cell r="G5">
            <v>11</v>
          </cell>
        </row>
        <row r="6">
          <cell r="A6" t="str">
            <v>EB</v>
          </cell>
          <cell r="B6" t="str">
            <v>Basic</v>
          </cell>
          <cell r="C6" t="str">
            <v>EB</v>
          </cell>
          <cell r="D6">
            <v>70</v>
          </cell>
          <cell r="E6">
            <v>1</v>
          </cell>
          <cell r="F6">
            <v>4</v>
          </cell>
          <cell r="G6">
            <v>11</v>
          </cell>
        </row>
        <row r="7">
          <cell r="A7" t="str">
            <v>How To</v>
          </cell>
          <cell r="B7" t="str">
            <v>Solo</v>
          </cell>
          <cell r="C7" t="str">
            <v>KL</v>
          </cell>
          <cell r="D7">
            <v>100</v>
          </cell>
          <cell r="E7">
            <v>0</v>
          </cell>
          <cell r="F7">
            <v>0</v>
          </cell>
          <cell r="G7">
            <v>1</v>
          </cell>
        </row>
        <row r="8">
          <cell r="A8" t="str">
            <v>Partý SB</v>
          </cell>
          <cell r="B8" t="str">
            <v>Party</v>
          </cell>
          <cell r="C8" t="str">
            <v>SB</v>
          </cell>
          <cell r="D8">
            <v>70</v>
          </cell>
          <cell r="E8">
            <v>1</v>
          </cell>
          <cell r="F8">
            <v>2</v>
          </cell>
          <cell r="G8">
            <v>5</v>
          </cell>
        </row>
        <row r="9">
          <cell r="A9" t="str">
            <v>Sígildir</v>
          </cell>
          <cell r="B9" t="str">
            <v>Solo</v>
          </cell>
          <cell r="C9" t="str">
            <v>NL</v>
          </cell>
          <cell r="D9">
            <v>80</v>
          </cell>
          <cell r="E9">
            <v>0</v>
          </cell>
          <cell r="F9">
            <v>0</v>
          </cell>
          <cell r="G9">
            <v>1</v>
          </cell>
        </row>
        <row r="10">
          <cell r="A10" t="str">
            <v>Partý EB</v>
          </cell>
          <cell r="B10" t="str">
            <v>Party</v>
          </cell>
          <cell r="C10" t="str">
            <v>EB</v>
          </cell>
          <cell r="D10">
            <v>50</v>
          </cell>
          <cell r="E10">
            <v>1</v>
          </cell>
          <cell r="F10">
            <v>6</v>
          </cell>
          <cell r="G10">
            <v>11</v>
          </cell>
        </row>
        <row r="11">
          <cell r="A11" t="str">
            <v>Fatahengi</v>
          </cell>
          <cell r="B11" t="str">
            <v>Fatahengi</v>
          </cell>
          <cell r="C11" t="str">
            <v>Fatahengi</v>
          </cell>
          <cell r="D11">
            <v>100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SB</v>
          </cell>
          <cell r="B12" t="str">
            <v>Basic</v>
          </cell>
          <cell r="C12" t="str">
            <v>SB</v>
          </cell>
          <cell r="D12">
            <v>80</v>
          </cell>
          <cell r="E12">
            <v>1</v>
          </cell>
          <cell r="F12">
            <v>1</v>
          </cell>
          <cell r="G12">
            <v>3</v>
          </cell>
        </row>
        <row r="13">
          <cell r="A13" t="str">
            <v>KL</v>
          </cell>
          <cell r="B13" t="str">
            <v>Basic</v>
          </cell>
          <cell r="C13" t="str">
            <v>KL</v>
          </cell>
          <cell r="D13">
            <v>40</v>
          </cell>
          <cell r="E13">
            <v>0</v>
          </cell>
          <cell r="F13">
            <v>1</v>
          </cell>
          <cell r="G13">
            <v>2</v>
          </cell>
        </row>
        <row r="14">
          <cell r="A14" t="str">
            <v>Party NL</v>
          </cell>
          <cell r="B14" t="str">
            <v>Party</v>
          </cell>
          <cell r="C14" t="str">
            <v>NL</v>
          </cell>
          <cell r="D14">
            <v>60</v>
          </cell>
          <cell r="E14">
            <v>1</v>
          </cell>
          <cell r="F14">
            <v>1</v>
          </cell>
          <cell r="G14">
            <v>4</v>
          </cell>
        </row>
        <row r="15">
          <cell r="A15" t="str">
            <v>NL</v>
          </cell>
          <cell r="B15" t="str">
            <v>Basic</v>
          </cell>
          <cell r="C15" t="str">
            <v>NL</v>
          </cell>
          <cell r="D15">
            <v>80</v>
          </cell>
          <cell r="E15">
            <v>1</v>
          </cell>
          <cell r="F15">
            <v>0</v>
          </cell>
          <cell r="G15">
            <v>3</v>
          </cell>
        </row>
        <row r="16">
          <cell r="A16" t="str">
            <v>HH</v>
          </cell>
          <cell r="B16" t="str">
            <v>Solo</v>
          </cell>
          <cell r="C16" t="str">
            <v>HH</v>
          </cell>
          <cell r="D16">
            <v>60</v>
          </cell>
          <cell r="E16">
            <v>0</v>
          </cell>
          <cell r="F16">
            <v>0</v>
          </cell>
          <cell r="G16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s 26 "/>
      <sheetName val="Apríl 26 - Sara og Katrín "/>
    </sheetNames>
    <sheetDataSet>
      <sheetData sheetId="0">
        <row r="3">
          <cell r="G3" t="str">
            <v>Arnar V</v>
          </cell>
          <cell r="I3" t="str">
            <v xml:space="preserve">Jara </v>
          </cell>
          <cell r="K3" t="str">
            <v xml:space="preserve">Róbert </v>
          </cell>
          <cell r="M3" t="str">
            <v xml:space="preserve">Þórey </v>
          </cell>
          <cell r="O3" t="str">
            <v>Arnar V</v>
          </cell>
          <cell r="Q3" t="str">
            <v xml:space="preserve">Anna S </v>
          </cell>
          <cell r="S3" t="str">
            <v xml:space="preserve">Róbert </v>
          </cell>
          <cell r="U3" t="str">
            <v xml:space="preserve">Jara </v>
          </cell>
        </row>
        <row r="4">
          <cell r="G4" t="str">
            <v xml:space="preserve">Arnar </v>
          </cell>
          <cell r="I4" t="str">
            <v>Anna S</v>
          </cell>
          <cell r="K4" t="str">
            <v xml:space="preserve">Anna S </v>
          </cell>
          <cell r="M4" t="str">
            <v>Sara J</v>
          </cell>
          <cell r="O4" t="str">
            <v xml:space="preserve">Erna </v>
          </cell>
          <cell r="Q4" t="str">
            <v xml:space="preserve">Katrín S </v>
          </cell>
          <cell r="S4" t="str">
            <v xml:space="preserve">Unnar </v>
          </cell>
          <cell r="U4" t="str">
            <v xml:space="preserve">Valdís </v>
          </cell>
        </row>
        <row r="5">
          <cell r="C5" t="str">
            <v>Agnes</v>
          </cell>
          <cell r="G5" t="str">
            <v xml:space="preserve">Auður </v>
          </cell>
          <cell r="I5" t="str">
            <v>Arnar Ragn</v>
          </cell>
          <cell r="K5" t="str">
            <v xml:space="preserve">Magnús </v>
          </cell>
          <cell r="M5" t="str">
            <v xml:space="preserve">Selma </v>
          </cell>
          <cell r="O5" t="str">
            <v xml:space="preserve">Elmar </v>
          </cell>
          <cell r="Q5" t="str">
            <v xml:space="preserve">Jórunn </v>
          </cell>
          <cell r="S5" t="str">
            <v xml:space="preserve">Valdís </v>
          </cell>
          <cell r="U5" t="str">
            <v xml:space="preserve">Rut </v>
          </cell>
        </row>
        <row r="6">
          <cell r="G6" t="str">
            <v xml:space="preserve">Erna </v>
          </cell>
          <cell r="I6" t="str">
            <v xml:space="preserve">Auður </v>
          </cell>
          <cell r="M6" t="str">
            <v xml:space="preserve">Sigríður </v>
          </cell>
          <cell r="O6" t="str">
            <v xml:space="preserve">Alda </v>
          </cell>
          <cell r="Q6" t="str">
            <v xml:space="preserve">Rut </v>
          </cell>
          <cell r="S6" t="str">
            <v xml:space="preserve">Védís </v>
          </cell>
          <cell r="U6" t="str">
            <v>Sara B</v>
          </cell>
        </row>
        <row r="7">
          <cell r="C7" t="str">
            <v xml:space="preserve">Katrín S </v>
          </cell>
          <cell r="G7" t="str">
            <v>Alda</v>
          </cell>
          <cell r="I7" t="str">
            <v xml:space="preserve">Elmar </v>
          </cell>
          <cell r="M7" t="str">
            <v>Sveinn</v>
          </cell>
          <cell r="O7" t="str">
            <v xml:space="preserve">Sara J </v>
          </cell>
          <cell r="Q7" t="str">
            <v xml:space="preserve">Katrín B </v>
          </cell>
          <cell r="S7" t="str">
            <v xml:space="preserve">Guðný </v>
          </cell>
          <cell r="U7" t="str">
            <v>Sara J</v>
          </cell>
        </row>
        <row r="8">
          <cell r="G8" t="str">
            <v xml:space="preserve">Gaukur </v>
          </cell>
          <cell r="I8" t="str">
            <v xml:space="preserve">Gaukur </v>
          </cell>
          <cell r="M8" t="str">
            <v xml:space="preserve">Rut </v>
          </cell>
          <cell r="O8" t="str">
            <v xml:space="preserve">Orri </v>
          </cell>
          <cell r="Q8" t="str">
            <v>Arnar G</v>
          </cell>
          <cell r="S8" t="str">
            <v xml:space="preserve">Anna S </v>
          </cell>
          <cell r="U8" t="str">
            <v xml:space="preserve">Sigríður </v>
          </cell>
        </row>
        <row r="9">
          <cell r="C9" t="str">
            <v>Sara B</v>
          </cell>
          <cell r="E9" t="str">
            <v xml:space="preserve">Guðny </v>
          </cell>
          <cell r="G9" t="str">
            <v xml:space="preserve">Ömmi </v>
          </cell>
          <cell r="I9" t="str">
            <v>Gréta</v>
          </cell>
          <cell r="M9" t="str">
            <v xml:space="preserve">Veró </v>
          </cell>
          <cell r="Q9" t="str">
            <v xml:space="preserve">Gaukur </v>
          </cell>
          <cell r="S9" t="str">
            <v xml:space="preserve">Þórey </v>
          </cell>
          <cell r="U9" t="str">
            <v>Sveinn</v>
          </cell>
        </row>
        <row r="10">
          <cell r="E10" t="str">
            <v xml:space="preserve">Auður </v>
          </cell>
          <cell r="G10" t="str">
            <v xml:space="preserve">Jórunn </v>
          </cell>
          <cell r="I10" t="str">
            <v xml:space="preserve">Guðný  </v>
          </cell>
          <cell r="M10" t="str">
            <v xml:space="preserve">Védís </v>
          </cell>
          <cell r="Q10" t="str">
            <v xml:space="preserve">Ömmi </v>
          </cell>
          <cell r="S10" t="str">
            <v xml:space="preserve">Ömmi </v>
          </cell>
          <cell r="U10" t="str">
            <v xml:space="preserve">Laufey </v>
          </cell>
        </row>
        <row r="11">
          <cell r="G11" t="str">
            <v xml:space="preserve">Katrín S </v>
          </cell>
          <cell r="I11" t="str">
            <v>Hrafnkell</v>
          </cell>
          <cell r="M11" t="str">
            <v xml:space="preserve">Unnar </v>
          </cell>
          <cell r="Q11" t="str">
            <v xml:space="preserve">Magnús </v>
          </cell>
          <cell r="S11" t="str">
            <v xml:space="preserve">Sigríður </v>
          </cell>
          <cell r="U11" t="str">
            <v xml:space="preserve">Arnar G </v>
          </cell>
        </row>
        <row r="12">
          <cell r="C12" t="str">
            <v>Veró</v>
          </cell>
          <cell r="G12" t="str">
            <v xml:space="preserve">Orri </v>
          </cell>
          <cell r="I12" t="str">
            <v xml:space="preserve">Hrannar </v>
          </cell>
          <cell r="M12" t="str">
            <v>Ömmi</v>
          </cell>
          <cell r="Q12" t="str">
            <v>Sveinn</v>
          </cell>
          <cell r="S12" t="str">
            <v xml:space="preserve">Laufey </v>
          </cell>
          <cell r="U12" t="str">
            <v>Hrafnkell</v>
          </cell>
        </row>
        <row r="13">
          <cell r="C13" t="str">
            <v xml:space="preserve">Laufey </v>
          </cell>
          <cell r="I13" t="str">
            <v xml:space="preserve">Katrín S </v>
          </cell>
          <cell r="M13" t="str">
            <v>Sara B</v>
          </cell>
          <cell r="S13" t="str">
            <v xml:space="preserve">Orri </v>
          </cell>
          <cell r="U13" t="str">
            <v xml:space="preserve">Hrannar </v>
          </cell>
        </row>
        <row r="14">
          <cell r="I14" t="str">
            <v xml:space="preserve">Hófý </v>
          </cell>
        </row>
        <row r="15">
          <cell r="C15" t="str">
            <v>Jórunn</v>
          </cell>
        </row>
        <row r="16">
          <cell r="C16" t="str">
            <v xml:space="preserve">Anna S </v>
          </cell>
          <cell r="E16" t="str">
            <v>Laufey</v>
          </cell>
        </row>
        <row r="18">
          <cell r="E18" t="str">
            <v xml:space="preserve">Erna </v>
          </cell>
        </row>
        <row r="19">
          <cell r="G19" t="str">
            <v xml:space="preserve">Róbert </v>
          </cell>
          <cell r="I19" t="str">
            <v xml:space="preserve">Þórey </v>
          </cell>
          <cell r="K19" t="str">
            <v xml:space="preserve">Selma </v>
          </cell>
          <cell r="M19" t="str">
            <v xml:space="preserve">Jara </v>
          </cell>
          <cell r="O19" t="str">
            <v>Arnar V</v>
          </cell>
          <cell r="Q19" t="str">
            <v xml:space="preserve">Katrín H </v>
          </cell>
          <cell r="S19" t="str">
            <v>Arnar  V</v>
          </cell>
          <cell r="U19" t="str">
            <v xml:space="preserve">Þórey </v>
          </cell>
        </row>
        <row r="20">
          <cell r="G20" t="str">
            <v xml:space="preserve">Veró </v>
          </cell>
          <cell r="I20" t="str">
            <v xml:space="preserve">Védís </v>
          </cell>
          <cell r="K20" t="str">
            <v xml:space="preserve">Alda </v>
          </cell>
          <cell r="M20" t="str">
            <v>Guðný</v>
          </cell>
          <cell r="O20" t="str">
            <v xml:space="preserve">Erna </v>
          </cell>
          <cell r="S20" t="str">
            <v xml:space="preserve">Orri </v>
          </cell>
          <cell r="U20" t="str">
            <v>Alda</v>
          </cell>
        </row>
        <row r="21">
          <cell r="C21" t="str">
            <v xml:space="preserve">Katrín S </v>
          </cell>
          <cell r="E21" t="str">
            <v>Sæmi</v>
          </cell>
          <cell r="G21" t="str">
            <v xml:space="preserve">Orri </v>
          </cell>
          <cell r="I21" t="str">
            <v xml:space="preserve">Jara </v>
          </cell>
          <cell r="M21" t="str">
            <v xml:space="preserve">Magnús </v>
          </cell>
          <cell r="O21" t="str">
            <v xml:space="preserve">Veró </v>
          </cell>
          <cell r="S21" t="str">
            <v xml:space="preserve">Magnús </v>
          </cell>
          <cell r="U21" t="str">
            <v>Anna S</v>
          </cell>
        </row>
        <row r="22">
          <cell r="C22" t="str">
            <v>Jórunn</v>
          </cell>
          <cell r="E22" t="str">
            <v xml:space="preserve">Gaukur </v>
          </cell>
          <cell r="G22" t="str">
            <v xml:space="preserve">Magnús </v>
          </cell>
          <cell r="I22" t="str">
            <v xml:space="preserve">Gaukur </v>
          </cell>
          <cell r="M22" t="str">
            <v>Orri</v>
          </cell>
          <cell r="O22" t="str">
            <v xml:space="preserve">Laufey </v>
          </cell>
          <cell r="Q22" t="str">
            <v xml:space="preserve">Gréta </v>
          </cell>
          <cell r="S22" t="str">
            <v xml:space="preserve">Ömmi </v>
          </cell>
          <cell r="U22" t="str">
            <v>Arnar R</v>
          </cell>
        </row>
        <row r="23">
          <cell r="G23" t="str">
            <v>Katrín S</v>
          </cell>
          <cell r="I23" t="str">
            <v xml:space="preserve">Hrannar </v>
          </cell>
          <cell r="M23" t="str">
            <v xml:space="preserve">Rut </v>
          </cell>
          <cell r="O23" t="str">
            <v xml:space="preserve">Védís </v>
          </cell>
          <cell r="S23" t="str">
            <v xml:space="preserve">Selma </v>
          </cell>
          <cell r="U23" t="str">
            <v xml:space="preserve">Auður </v>
          </cell>
        </row>
        <row r="24">
          <cell r="G24" t="str">
            <v>Jórunn</v>
          </cell>
          <cell r="I24" t="str">
            <v xml:space="preserve">Hrafnkell </v>
          </cell>
          <cell r="M24" t="str">
            <v xml:space="preserve">Sara B </v>
          </cell>
          <cell r="O24" t="str">
            <v>Sveinn</v>
          </cell>
          <cell r="S24" t="str">
            <v xml:space="preserve">Arnar G </v>
          </cell>
          <cell r="U24" t="str">
            <v xml:space="preserve">Elísabet </v>
          </cell>
        </row>
        <row r="25">
          <cell r="C25" t="str">
            <v>Þórey</v>
          </cell>
          <cell r="G25" t="str">
            <v xml:space="preserve">Hófý </v>
          </cell>
          <cell r="I25" t="str">
            <v xml:space="preserve">Auður </v>
          </cell>
          <cell r="M25" t="str">
            <v>Sara J</v>
          </cell>
          <cell r="O25" t="str">
            <v xml:space="preserve">Hrannar </v>
          </cell>
          <cell r="Q25" t="str">
            <v xml:space="preserve">Védís </v>
          </cell>
          <cell r="S25" t="str">
            <v xml:space="preserve">Rut </v>
          </cell>
          <cell r="U25" t="str">
            <v xml:space="preserve">Elmar </v>
          </cell>
        </row>
        <row r="26">
          <cell r="I26" t="str">
            <v xml:space="preserve">Hófý </v>
          </cell>
          <cell r="O26" t="str">
            <v>Hrafnkell</v>
          </cell>
          <cell r="Q26" t="str">
            <v xml:space="preserve">Sigríður </v>
          </cell>
          <cell r="S26" t="str">
            <v>Sara B</v>
          </cell>
          <cell r="U26" t="str">
            <v xml:space="preserve">Erna </v>
          </cell>
        </row>
        <row r="27">
          <cell r="C27" t="str">
            <v xml:space="preserve">Elmar </v>
          </cell>
          <cell r="I27" t="str">
            <v xml:space="preserve">Sigríður </v>
          </cell>
          <cell r="O27" t="str">
            <v xml:space="preserve">Sigríður </v>
          </cell>
          <cell r="S27" t="str">
            <v xml:space="preserve">Unnar </v>
          </cell>
          <cell r="U27" t="str">
            <v xml:space="preserve">Gaukur </v>
          </cell>
        </row>
        <row r="28">
          <cell r="I28" t="str">
            <v xml:space="preserve">Unnar </v>
          </cell>
          <cell r="O28" t="str">
            <v xml:space="preserve">Selma </v>
          </cell>
          <cell r="S28" t="str">
            <v xml:space="preserve">Hrannar </v>
          </cell>
          <cell r="U28" t="str">
            <v>Gréta</v>
          </cell>
        </row>
        <row r="29">
          <cell r="C29" t="str">
            <v>Katrín H</v>
          </cell>
          <cell r="G29" t="str">
            <v xml:space="preserve">Ömmi </v>
          </cell>
          <cell r="I29" t="str">
            <v>Róbert</v>
          </cell>
          <cell r="O29" t="str">
            <v>Jórunn</v>
          </cell>
          <cell r="S29" t="str">
            <v>Hrafnkell</v>
          </cell>
          <cell r="U29" t="str">
            <v xml:space="preserve">Guðný  </v>
          </cell>
        </row>
        <row r="30">
          <cell r="E30" t="str">
            <v xml:space="preserve">Jara </v>
          </cell>
          <cell r="G30" t="str">
            <v xml:space="preserve">Jara </v>
          </cell>
          <cell r="I30" t="str">
            <v>Sveinn</v>
          </cell>
          <cell r="O30" t="str">
            <v xml:space="preserve">Elmar </v>
          </cell>
          <cell r="Q30" t="str">
            <v xml:space="preserve">Sigríður </v>
          </cell>
          <cell r="S30" t="str">
            <v>Elmar</v>
          </cell>
          <cell r="U30" t="str">
            <v>Hrafnkell</v>
          </cell>
        </row>
        <row r="31">
          <cell r="C31" t="str">
            <v xml:space="preserve">Orri </v>
          </cell>
          <cell r="E31" t="str">
            <v xml:space="preserve">Hrannar </v>
          </cell>
        </row>
        <row r="32">
          <cell r="E32" t="str">
            <v>Sara B</v>
          </cell>
        </row>
        <row r="33">
          <cell r="E33" t="str">
            <v>Ömmi</v>
          </cell>
          <cell r="Q33" t="str">
            <v>Arnar V</v>
          </cell>
        </row>
        <row r="34">
          <cell r="E34" t="str">
            <v xml:space="preserve">Selma </v>
          </cell>
          <cell r="Q34" t="str">
            <v xml:space="preserve">Unnar </v>
          </cell>
        </row>
        <row r="35">
          <cell r="C35" t="str">
            <v xml:space="preserve">Gréta </v>
          </cell>
          <cell r="E35" t="str">
            <v>Sæmi</v>
          </cell>
        </row>
        <row r="36">
          <cell r="E36" t="str">
            <v xml:space="preserve">Sara J </v>
          </cell>
        </row>
        <row r="38">
          <cell r="C38" t="str">
            <v xml:space="preserve">Veró </v>
          </cell>
          <cell r="E38" t="str">
            <v>alda</v>
          </cell>
        </row>
        <row r="39">
          <cell r="C39" t="str">
            <v xml:space="preserve">Védís </v>
          </cell>
        </row>
        <row r="43">
          <cell r="C43" t="str">
            <v>Sara J</v>
          </cell>
        </row>
        <row r="46">
          <cell r="C46" t="str">
            <v xml:space="preserve">Auður </v>
          </cell>
        </row>
        <row r="47">
          <cell r="C47" t="str">
            <v xml:space="preserve">Sigrður </v>
          </cell>
        </row>
        <row r="50">
          <cell r="C50" t="str">
            <v xml:space="preserve">Valdís </v>
          </cell>
        </row>
      </sheetData>
      <sheetData sheetId="1">
        <row r="3">
          <cell r="C3" t="str">
            <v xml:space="preserve">Valdís </v>
          </cell>
          <cell r="E3" t="str">
            <v xml:space="preserve">Erna </v>
          </cell>
          <cell r="G3" t="str">
            <v xml:space="preserve">Róbert </v>
          </cell>
          <cell r="I3" t="str">
            <v xml:space="preserve">Jara </v>
          </cell>
          <cell r="K3" t="str">
            <v>Arnar V</v>
          </cell>
          <cell r="M3" t="str">
            <v xml:space="preserve">Þórey </v>
          </cell>
          <cell r="O3" t="str">
            <v>Arnar V</v>
          </cell>
          <cell r="Q3" t="str">
            <v xml:space="preserve">Róbert </v>
          </cell>
          <cell r="S3" t="str">
            <v xml:space="preserve">Jara </v>
          </cell>
          <cell r="U3" t="str">
            <v xml:space="preserve">Þórey </v>
          </cell>
          <cell r="W3" t="str">
            <v>Arnar V</v>
          </cell>
        </row>
        <row r="4">
          <cell r="G4" t="str">
            <v>Hrafnkell</v>
          </cell>
          <cell r="I4" t="str">
            <v>Sara J</v>
          </cell>
          <cell r="K4" t="str">
            <v xml:space="preserve">Elmar </v>
          </cell>
          <cell r="M4" t="str">
            <v xml:space="preserve">Jórunn  </v>
          </cell>
          <cell r="O4" t="str">
            <v xml:space="preserve">Sigríður </v>
          </cell>
          <cell r="Q4" t="str">
            <v>Sveinn</v>
          </cell>
          <cell r="S4" t="str">
            <v xml:space="preserve">Alda </v>
          </cell>
          <cell r="U4" t="str">
            <v>Sveinn</v>
          </cell>
          <cell r="W4" t="str">
            <v xml:space="preserve">Selma </v>
          </cell>
        </row>
        <row r="5">
          <cell r="G5" t="str">
            <v xml:space="preserve">Sigríður </v>
          </cell>
          <cell r="I5" t="str">
            <v xml:space="preserve">Elmar </v>
          </cell>
          <cell r="K5" t="str">
            <v xml:space="preserve">Gaukur </v>
          </cell>
          <cell r="M5" t="str">
            <v>Sæmundur</v>
          </cell>
          <cell r="O5" t="str">
            <v>Hrannar</v>
          </cell>
          <cell r="Q5" t="str">
            <v xml:space="preserve">Arnar G </v>
          </cell>
          <cell r="S5" t="str">
            <v xml:space="preserve">Laufey </v>
          </cell>
          <cell r="U5" t="str">
            <v xml:space="preserve">Alda </v>
          </cell>
          <cell r="W5" t="str">
            <v>Anna S</v>
          </cell>
        </row>
        <row r="6">
          <cell r="C6" t="str">
            <v xml:space="preserve">Þórey </v>
          </cell>
          <cell r="E6" t="str">
            <v xml:space="preserve">Gaukur </v>
          </cell>
          <cell r="G6" t="str">
            <v xml:space="preserve">Jórunn  </v>
          </cell>
          <cell r="I6" t="str">
            <v xml:space="preserve">Ömmi </v>
          </cell>
          <cell r="K6" t="str">
            <v>Gréta</v>
          </cell>
          <cell r="M6" t="str">
            <v>Katrín S</v>
          </cell>
          <cell r="O6" t="str">
            <v>Hafnkell</v>
          </cell>
          <cell r="Q6" t="str">
            <v xml:space="preserve">Elmar </v>
          </cell>
          <cell r="S6" t="str">
            <v xml:space="preserve">Magnús  </v>
          </cell>
          <cell r="U6" t="str">
            <v xml:space="preserve">Arnar G </v>
          </cell>
          <cell r="W6" t="str">
            <v xml:space="preserve">Hófý </v>
          </cell>
        </row>
        <row r="7">
          <cell r="C7" t="str">
            <v xml:space="preserve">Erna </v>
          </cell>
          <cell r="G7" t="str">
            <v xml:space="preserve">Anna S </v>
          </cell>
          <cell r="I7" t="str">
            <v>Sveinn</v>
          </cell>
          <cell r="K7" t="str">
            <v xml:space="preserve">Hólmfríður </v>
          </cell>
          <cell r="M7" t="str">
            <v xml:space="preserve">Laufey </v>
          </cell>
          <cell r="O7" t="str">
            <v>Guðný</v>
          </cell>
          <cell r="Q7" t="str">
            <v xml:space="preserve">Erna </v>
          </cell>
          <cell r="S7" t="str">
            <v>Sara B</v>
          </cell>
          <cell r="U7" t="str">
            <v xml:space="preserve">Auður </v>
          </cell>
          <cell r="W7" t="str">
            <v xml:space="preserve">Elísabet </v>
          </cell>
        </row>
        <row r="8">
          <cell r="G8" t="str">
            <v>Katrín S</v>
          </cell>
          <cell r="I8" t="str">
            <v xml:space="preserve">Sæmundur </v>
          </cell>
          <cell r="K8" t="str">
            <v xml:space="preserve">Magnús </v>
          </cell>
          <cell r="M8" t="str">
            <v xml:space="preserve">Magnús  </v>
          </cell>
          <cell r="O8" t="str">
            <v xml:space="preserve">Védís </v>
          </cell>
          <cell r="Q8" t="str">
            <v>katrín S</v>
          </cell>
          <cell r="S8" t="str">
            <v xml:space="preserve">Sara J </v>
          </cell>
          <cell r="U8" t="str">
            <v xml:space="preserve">Unnar </v>
          </cell>
          <cell r="W8" t="str">
            <v>Sæmi</v>
          </cell>
        </row>
        <row r="9">
          <cell r="E9" t="str">
            <v xml:space="preserve">Þórey </v>
          </cell>
          <cell r="G9" t="str">
            <v xml:space="preserve">Laufey </v>
          </cell>
          <cell r="I9" t="str">
            <v>Erna</v>
          </cell>
          <cell r="K9" t="str">
            <v>Rut</v>
          </cell>
          <cell r="M9" t="str">
            <v>Orri</v>
          </cell>
          <cell r="O9" t="str">
            <v xml:space="preserve">Unnar </v>
          </cell>
          <cell r="Q9" t="str">
            <v>Gréta</v>
          </cell>
          <cell r="S9" t="str">
            <v xml:space="preserve">Elísabet </v>
          </cell>
          <cell r="W9" t="str">
            <v xml:space="preserve">Valdís </v>
          </cell>
        </row>
        <row r="10">
          <cell r="E10" t="str">
            <v>SaraB</v>
          </cell>
          <cell r="G10" t="str">
            <v xml:space="preserve">Magnús </v>
          </cell>
          <cell r="I10" t="str">
            <v xml:space="preserve">Védís </v>
          </cell>
          <cell r="M10" t="str">
            <v>Sveinn</v>
          </cell>
          <cell r="O10" t="str">
            <v>Ömmi</v>
          </cell>
          <cell r="Q10" t="str">
            <v xml:space="preserve">Guðný  </v>
          </cell>
          <cell r="S10" t="str">
            <v>Ömmi</v>
          </cell>
          <cell r="W10" t="str">
            <v xml:space="preserve">Alda </v>
          </cell>
        </row>
        <row r="11">
          <cell r="G11" t="str">
            <v>Orri</v>
          </cell>
          <cell r="I11" t="str">
            <v xml:space="preserve">Unnar </v>
          </cell>
          <cell r="M11" t="str">
            <v>Sara B</v>
          </cell>
          <cell r="O11" t="str">
            <v>Arnar G</v>
          </cell>
          <cell r="Q11" t="str">
            <v>Rut</v>
          </cell>
          <cell r="S11" t="str">
            <v xml:space="preserve">Védís </v>
          </cell>
        </row>
        <row r="12">
          <cell r="C12" t="str">
            <v xml:space="preserve">Gaukur </v>
          </cell>
          <cell r="G12" t="str">
            <v xml:space="preserve">Selma </v>
          </cell>
          <cell r="I12" t="str">
            <v>Margrét L</v>
          </cell>
          <cell r="M12" t="str">
            <v>Sara J</v>
          </cell>
          <cell r="O12" t="str">
            <v>Anna S</v>
          </cell>
          <cell r="Q12" t="str">
            <v xml:space="preserve">Hrannar </v>
          </cell>
          <cell r="S12" t="str">
            <v xml:space="preserve">Katrín S </v>
          </cell>
        </row>
        <row r="13">
          <cell r="E13" t="str">
            <v xml:space="preserve">Róbert </v>
          </cell>
          <cell r="G13" t="str">
            <v xml:space="preserve">Rut </v>
          </cell>
          <cell r="I13" t="str">
            <v>Arnar G</v>
          </cell>
          <cell r="M13" t="str">
            <v xml:space="preserve">Selma </v>
          </cell>
          <cell r="O13" t="str">
            <v>Elísabet</v>
          </cell>
          <cell r="Q13" t="str">
            <v xml:space="preserve">Sara J </v>
          </cell>
          <cell r="S13" t="str">
            <v xml:space="preserve">Hrannar </v>
          </cell>
        </row>
        <row r="14">
          <cell r="C14" t="str">
            <v xml:space="preserve">Elmar </v>
          </cell>
          <cell r="E14" t="str">
            <v>Hrafnkell</v>
          </cell>
          <cell r="G14" t="str">
            <v>Sara J</v>
          </cell>
          <cell r="I14" t="str">
            <v xml:space="preserve">Elísabet </v>
          </cell>
          <cell r="Q14" t="str">
            <v xml:space="preserve">Jórunn  </v>
          </cell>
        </row>
        <row r="15">
          <cell r="G15" t="str">
            <v xml:space="preserve">Sæmi </v>
          </cell>
        </row>
        <row r="16">
          <cell r="C16" t="str">
            <v xml:space="preserve">Gréta </v>
          </cell>
        </row>
        <row r="18">
          <cell r="C18" t="str">
            <v xml:space="preserve">Elmar </v>
          </cell>
        </row>
        <row r="20">
          <cell r="C20" t="str">
            <v>Hrafnkell</v>
          </cell>
          <cell r="K20" t="str">
            <v xml:space="preserve">Róbert </v>
          </cell>
          <cell r="Q20" t="str">
            <v xml:space="preserve">Þórey </v>
          </cell>
          <cell r="S20" t="str">
            <v xml:space="preserve">Jara </v>
          </cell>
          <cell r="U20" t="str">
            <v xml:space="preserve">Arnar </v>
          </cell>
          <cell r="W20" t="str">
            <v xml:space="preserve">Róbert </v>
          </cell>
        </row>
        <row r="21">
          <cell r="K21" t="str">
            <v xml:space="preserve">Elmar </v>
          </cell>
          <cell r="Q21" t="str">
            <v>Alda</v>
          </cell>
          <cell r="S21" t="str">
            <v>Rut</v>
          </cell>
          <cell r="U21" t="str">
            <v xml:space="preserve">Katrín S </v>
          </cell>
          <cell r="W21" t="str">
            <v xml:space="preserve">Hrannar </v>
          </cell>
        </row>
        <row r="22">
          <cell r="K22" t="str">
            <v xml:space="preserve">Erna </v>
          </cell>
          <cell r="Q22" t="str">
            <v xml:space="preserve">Elísabet </v>
          </cell>
          <cell r="S22" t="str">
            <v>Hrafnkell</v>
          </cell>
          <cell r="U22" t="str">
            <v xml:space="preserve">Elísabet </v>
          </cell>
          <cell r="W22" t="str">
            <v xml:space="preserve">Jórunn  </v>
          </cell>
        </row>
        <row r="23">
          <cell r="E23" t="str">
            <v xml:space="preserve">Erna </v>
          </cell>
          <cell r="K23" t="str">
            <v xml:space="preserve">Selma </v>
          </cell>
          <cell r="Q23" t="str">
            <v xml:space="preserve">Erna </v>
          </cell>
          <cell r="S23" t="str">
            <v xml:space="preserve">Hrannar </v>
          </cell>
          <cell r="U23" t="str">
            <v xml:space="preserve">Erna </v>
          </cell>
          <cell r="W23" t="str">
            <v>Katrín H</v>
          </cell>
        </row>
        <row r="24">
          <cell r="K24" t="str">
            <v>Hrafnkell</v>
          </cell>
          <cell r="Q24" t="str">
            <v>Gréta</v>
          </cell>
          <cell r="S24" t="str">
            <v xml:space="preserve">Jórunn  </v>
          </cell>
          <cell r="U24" t="str">
            <v xml:space="preserve">Guðný </v>
          </cell>
          <cell r="W24" t="str">
            <v>Katrín S</v>
          </cell>
        </row>
        <row r="25">
          <cell r="K25" t="str">
            <v xml:space="preserve">Sara B </v>
          </cell>
          <cell r="Q25" t="str">
            <v xml:space="preserve">Guðný  </v>
          </cell>
          <cell r="S25" t="str">
            <v xml:space="preserve">Magnús  </v>
          </cell>
          <cell r="U25" t="str">
            <v xml:space="preserve">Hófý </v>
          </cell>
          <cell r="W25" t="str">
            <v xml:space="preserve">Védís </v>
          </cell>
        </row>
        <row r="26">
          <cell r="C26" t="str">
            <v xml:space="preserve">Anna S </v>
          </cell>
          <cell r="K26" t="str">
            <v>Katrín S</v>
          </cell>
          <cell r="Q26" t="str">
            <v xml:space="preserve">Hófý  </v>
          </cell>
          <cell r="S26" t="str">
            <v>Sara B</v>
          </cell>
          <cell r="U26" t="str">
            <v xml:space="preserve">Védís </v>
          </cell>
          <cell r="W26" t="str">
            <v>Sara B</v>
          </cell>
        </row>
        <row r="27">
          <cell r="K27" t="str">
            <v xml:space="preserve">Jórunn </v>
          </cell>
          <cell r="S27" t="str">
            <v xml:space="preserve">Sara Júlía </v>
          </cell>
          <cell r="U27" t="str">
            <v xml:space="preserve">Unnar </v>
          </cell>
          <cell r="W27" t="str">
            <v>Sara J</v>
          </cell>
        </row>
        <row r="28">
          <cell r="K28" t="str">
            <v xml:space="preserve">Védís </v>
          </cell>
          <cell r="S28" t="str">
            <v xml:space="preserve">Sigríður </v>
          </cell>
          <cell r="W28" t="str">
            <v xml:space="preserve">Selma </v>
          </cell>
        </row>
        <row r="29">
          <cell r="C29" t="str">
            <v xml:space="preserve">Auður </v>
          </cell>
          <cell r="E29" t="str">
            <v xml:space="preserve">Róbert </v>
          </cell>
          <cell r="K29" t="str">
            <v xml:space="preserve">Ömmi </v>
          </cell>
          <cell r="S29" t="str">
            <v xml:space="preserve">Arnar G </v>
          </cell>
          <cell r="W29" t="str">
            <v>Sæmi</v>
          </cell>
        </row>
        <row r="30">
          <cell r="E30" t="str">
            <v xml:space="preserve">Magnús </v>
          </cell>
          <cell r="K30" t="str">
            <v xml:space="preserve">Magnús  </v>
          </cell>
          <cell r="S30" t="str">
            <v xml:space="preserve">Ömmi </v>
          </cell>
          <cell r="W30" t="str">
            <v xml:space="preserve">Valdís </v>
          </cell>
        </row>
        <row r="31">
          <cell r="E31" t="str">
            <v xml:space="preserve">Auður </v>
          </cell>
          <cell r="K31" t="str">
            <v xml:space="preserve">Jara </v>
          </cell>
          <cell r="S31" t="str">
            <v xml:space="preserve">Katrín H </v>
          </cell>
        </row>
        <row r="32">
          <cell r="C32" t="str">
            <v>Sæmi</v>
          </cell>
          <cell r="E32" t="str">
            <v xml:space="preserve">Valdís </v>
          </cell>
        </row>
        <row r="34">
          <cell r="E34" t="str">
            <v xml:space="preserve">Védís </v>
          </cell>
        </row>
        <row r="35">
          <cell r="C35" t="str">
            <v xml:space="preserve">Unnar </v>
          </cell>
          <cell r="E35" t="str">
            <v xml:space="preserve">Elísabet </v>
          </cell>
        </row>
        <row r="36">
          <cell r="C36" t="str">
            <v xml:space="preserve">Sigríður </v>
          </cell>
        </row>
        <row r="38">
          <cell r="E38" t="str">
            <v xml:space="preserve">Elmar </v>
          </cell>
        </row>
        <row r="39">
          <cell r="E39" t="str">
            <v xml:space="preserve">Hófý </v>
          </cell>
        </row>
        <row r="41">
          <cell r="E41" t="str">
            <v xml:space="preserve">Hrafnkell </v>
          </cell>
        </row>
        <row r="42">
          <cell r="E42" t="str">
            <v>Ömmi</v>
          </cell>
        </row>
        <row r="44">
          <cell r="E44" t="str">
            <v>Arnar G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ents"/>
      <sheetName val="Employees"/>
      <sheetName val="DaysOff"/>
      <sheetName val="EventReq"/>
      <sheetName val="ScoreKeys"/>
      <sheetName val="SkillsetScores"/>
      <sheetName val="Score krass"/>
      <sheetName val="EventTyp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EventType</v>
          </cell>
          <cell r="B1" t="str">
            <v>EventCategory</v>
          </cell>
          <cell r="C1" t="str">
            <v>Hall</v>
          </cell>
          <cell r="D1" t="str">
            <v>EventRanking</v>
          </cell>
          <cell r="E1" t="str">
            <v>Skillset1</v>
          </cell>
          <cell r="F1" t="str">
            <v>Skillset2</v>
          </cell>
          <cell r="G1" t="str">
            <v>Employees</v>
          </cell>
        </row>
        <row r="2">
          <cell r="A2" t="str">
            <v>Múlinn</v>
          </cell>
          <cell r="B2" t="str">
            <v>Solo</v>
          </cell>
          <cell r="C2" t="str">
            <v>BL</v>
          </cell>
          <cell r="D2">
            <v>90</v>
          </cell>
          <cell r="E2">
            <v>0</v>
          </cell>
          <cell r="F2">
            <v>0</v>
          </cell>
          <cell r="G2">
            <v>1</v>
          </cell>
        </row>
        <row r="3">
          <cell r="A3" t="str">
            <v>Barna EB</v>
          </cell>
          <cell r="B3" t="str">
            <v>Barna</v>
          </cell>
          <cell r="C3" t="str">
            <v>EB</v>
          </cell>
          <cell r="D3">
            <v>70</v>
          </cell>
          <cell r="E3">
            <v>1</v>
          </cell>
          <cell r="F3">
            <v>2</v>
          </cell>
          <cell r="G3">
            <v>11</v>
          </cell>
        </row>
        <row r="4">
          <cell r="A4" t="str">
            <v>Barna KL</v>
          </cell>
          <cell r="B4" t="str">
            <v>Barna</v>
          </cell>
          <cell r="C4" t="str">
            <v>KL</v>
          </cell>
          <cell r="D4">
            <v>80</v>
          </cell>
          <cell r="E4">
            <v>0</v>
          </cell>
          <cell r="F4">
            <v>1</v>
          </cell>
          <cell r="G4">
            <v>2</v>
          </cell>
        </row>
        <row r="5">
          <cell r="A5" t="str">
            <v>Sinfó</v>
          </cell>
          <cell r="B5" t="str">
            <v>Basic</v>
          </cell>
          <cell r="C5" t="str">
            <v>EB</v>
          </cell>
          <cell r="D5">
            <v>50</v>
          </cell>
          <cell r="E5">
            <v>1</v>
          </cell>
          <cell r="F5">
            <v>3</v>
          </cell>
          <cell r="G5">
            <v>11</v>
          </cell>
        </row>
        <row r="6">
          <cell r="A6" t="str">
            <v>EB</v>
          </cell>
          <cell r="B6" t="str">
            <v>Basic</v>
          </cell>
          <cell r="C6" t="str">
            <v>EB</v>
          </cell>
          <cell r="D6">
            <v>70</v>
          </cell>
          <cell r="E6">
            <v>1</v>
          </cell>
          <cell r="F6">
            <v>4</v>
          </cell>
          <cell r="G6">
            <v>11</v>
          </cell>
        </row>
        <row r="7">
          <cell r="A7" t="str">
            <v>How To</v>
          </cell>
          <cell r="B7" t="str">
            <v>Solo</v>
          </cell>
          <cell r="C7" t="str">
            <v>KL</v>
          </cell>
          <cell r="D7">
            <v>100</v>
          </cell>
          <cell r="E7">
            <v>0</v>
          </cell>
          <cell r="F7">
            <v>0</v>
          </cell>
          <cell r="G7">
            <v>1</v>
          </cell>
        </row>
        <row r="8">
          <cell r="A8" t="str">
            <v>Partý SB</v>
          </cell>
          <cell r="B8" t="str">
            <v>Party</v>
          </cell>
          <cell r="C8" t="str">
            <v>SB</v>
          </cell>
          <cell r="D8">
            <v>70</v>
          </cell>
          <cell r="E8">
            <v>1</v>
          </cell>
          <cell r="F8">
            <v>2</v>
          </cell>
          <cell r="G8">
            <v>5</v>
          </cell>
        </row>
        <row r="9">
          <cell r="A9" t="str">
            <v>Sígildir</v>
          </cell>
          <cell r="B9" t="str">
            <v>Solo</v>
          </cell>
          <cell r="C9" t="str">
            <v>NL</v>
          </cell>
          <cell r="D9">
            <v>80</v>
          </cell>
          <cell r="E9">
            <v>0</v>
          </cell>
          <cell r="F9">
            <v>0</v>
          </cell>
          <cell r="G9">
            <v>1</v>
          </cell>
        </row>
        <row r="10">
          <cell r="A10" t="str">
            <v>Partý EB</v>
          </cell>
          <cell r="B10" t="str">
            <v>Party</v>
          </cell>
          <cell r="C10" t="str">
            <v>EB</v>
          </cell>
          <cell r="D10">
            <v>50</v>
          </cell>
          <cell r="E10">
            <v>1</v>
          </cell>
          <cell r="F10">
            <v>6</v>
          </cell>
          <cell r="G10">
            <v>11</v>
          </cell>
        </row>
        <row r="11">
          <cell r="A11" t="str">
            <v>Fatahengi</v>
          </cell>
          <cell r="B11" t="str">
            <v>Fatahengi</v>
          </cell>
          <cell r="C11" t="str">
            <v>Fatahengi</v>
          </cell>
          <cell r="D11">
            <v>100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SB</v>
          </cell>
          <cell r="B12" t="str">
            <v>Basic</v>
          </cell>
          <cell r="C12" t="str">
            <v>SB</v>
          </cell>
          <cell r="D12">
            <v>80</v>
          </cell>
          <cell r="E12">
            <v>1</v>
          </cell>
          <cell r="F12">
            <v>1</v>
          </cell>
          <cell r="G12">
            <v>3</v>
          </cell>
        </row>
        <row r="13">
          <cell r="A13" t="str">
            <v>KL</v>
          </cell>
          <cell r="B13" t="str">
            <v>Basic</v>
          </cell>
          <cell r="C13" t="str">
            <v>KL</v>
          </cell>
          <cell r="D13">
            <v>40</v>
          </cell>
          <cell r="E13">
            <v>0</v>
          </cell>
          <cell r="F13">
            <v>1</v>
          </cell>
          <cell r="G13">
            <v>2</v>
          </cell>
        </row>
        <row r="14">
          <cell r="A14" t="str">
            <v>Party NL</v>
          </cell>
          <cell r="B14" t="str">
            <v>Party</v>
          </cell>
          <cell r="C14" t="str">
            <v>NL</v>
          </cell>
          <cell r="D14">
            <v>60</v>
          </cell>
          <cell r="E14">
            <v>1</v>
          </cell>
          <cell r="F14">
            <v>1</v>
          </cell>
          <cell r="G14">
            <v>4</v>
          </cell>
        </row>
        <row r="15">
          <cell r="A15" t="str">
            <v>NL</v>
          </cell>
          <cell r="B15" t="str">
            <v>Basic</v>
          </cell>
          <cell r="C15" t="str">
            <v>NL</v>
          </cell>
          <cell r="D15">
            <v>80</v>
          </cell>
          <cell r="E15">
            <v>1</v>
          </cell>
          <cell r="F15">
            <v>0</v>
          </cell>
          <cell r="G15">
            <v>3</v>
          </cell>
        </row>
        <row r="16">
          <cell r="A16" t="str">
            <v>HH</v>
          </cell>
          <cell r="B16" t="str">
            <v>Solo</v>
          </cell>
          <cell r="C16" t="str">
            <v>HH</v>
          </cell>
          <cell r="D16">
            <v>60</v>
          </cell>
          <cell r="E16">
            <v>0</v>
          </cell>
          <cell r="F16">
            <v>0</v>
          </cell>
          <cell r="G1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EC05-72A0-7B43-9FF2-F2B59B640232}">
  <dimension ref="A1:P42"/>
  <sheetViews>
    <sheetView zoomScale="75" workbookViewId="0">
      <selection activeCell="E17" sqref="E17"/>
    </sheetView>
  </sheetViews>
  <sheetFormatPr baseColWidth="10" defaultRowHeight="16" x14ac:dyDescent="0.2"/>
  <cols>
    <col min="2" max="2" width="14.6640625" customWidth="1"/>
    <col min="8" max="8" width="10.83203125" customWidth="1"/>
  </cols>
  <sheetData>
    <row r="1" spans="1:16" x14ac:dyDescent="0.2">
      <c r="A1" s="1" t="s">
        <v>0</v>
      </c>
      <c r="B1" s="1" t="s">
        <v>1</v>
      </c>
      <c r="C1" t="s">
        <v>43</v>
      </c>
      <c r="D1" t="s">
        <v>44</v>
      </c>
      <c r="G1" t="s">
        <v>91</v>
      </c>
      <c r="H1" t="s">
        <v>92</v>
      </c>
      <c r="I1" t="s">
        <v>93</v>
      </c>
      <c r="J1" t="s">
        <v>94</v>
      </c>
      <c r="M1" t="s">
        <v>91</v>
      </c>
      <c r="N1" t="s">
        <v>92</v>
      </c>
      <c r="O1" t="s">
        <v>93</v>
      </c>
      <c r="P1" t="s">
        <v>94</v>
      </c>
    </row>
    <row r="2" spans="1:16" x14ac:dyDescent="0.2">
      <c r="A2">
        <v>1</v>
      </c>
      <c r="B2" t="s">
        <v>2</v>
      </c>
      <c r="C2">
        <v>1</v>
      </c>
      <c r="G2" t="s">
        <v>118</v>
      </c>
      <c r="H2">
        <v>1</v>
      </c>
      <c r="I2" t="s">
        <v>119</v>
      </c>
      <c r="J2">
        <v>100</v>
      </c>
      <c r="M2" t="s">
        <v>95</v>
      </c>
      <c r="N2">
        <v>8</v>
      </c>
      <c r="O2" s="5">
        <v>46169</v>
      </c>
      <c r="P2">
        <v>560</v>
      </c>
    </row>
    <row r="3" spans="1:16" x14ac:dyDescent="0.2">
      <c r="A3">
        <v>2</v>
      </c>
      <c r="B3" t="s">
        <v>3</v>
      </c>
      <c r="C3">
        <v>5</v>
      </c>
      <c r="G3" s="6" t="s">
        <v>120</v>
      </c>
      <c r="H3" s="6">
        <v>4</v>
      </c>
      <c r="I3" s="6" t="s">
        <v>121</v>
      </c>
      <c r="J3" s="6">
        <v>300</v>
      </c>
      <c r="M3" t="s">
        <v>38</v>
      </c>
      <c r="N3">
        <v>7</v>
      </c>
      <c r="O3" s="5">
        <v>46169</v>
      </c>
      <c r="P3">
        <v>490</v>
      </c>
    </row>
    <row r="4" spans="1:16" x14ac:dyDescent="0.2">
      <c r="A4">
        <v>3</v>
      </c>
      <c r="B4" t="s">
        <v>4</v>
      </c>
      <c r="C4">
        <v>6</v>
      </c>
      <c r="G4" t="s">
        <v>108</v>
      </c>
      <c r="H4">
        <v>4</v>
      </c>
      <c r="I4" t="s">
        <v>122</v>
      </c>
      <c r="J4">
        <v>240</v>
      </c>
      <c r="M4" t="s">
        <v>25</v>
      </c>
      <c r="N4">
        <v>7</v>
      </c>
      <c r="O4" t="s">
        <v>96</v>
      </c>
      <c r="P4">
        <v>470</v>
      </c>
    </row>
    <row r="5" spans="1:16" x14ac:dyDescent="0.2">
      <c r="A5">
        <v>4</v>
      </c>
      <c r="B5" t="s">
        <v>5</v>
      </c>
      <c r="C5">
        <v>6</v>
      </c>
      <c r="G5" t="s">
        <v>95</v>
      </c>
      <c r="H5">
        <v>6</v>
      </c>
      <c r="I5" s="5">
        <v>46162</v>
      </c>
      <c r="J5">
        <v>340</v>
      </c>
      <c r="M5" t="s">
        <v>97</v>
      </c>
      <c r="N5">
        <v>7</v>
      </c>
      <c r="O5" s="5">
        <v>46168</v>
      </c>
      <c r="P5">
        <v>530</v>
      </c>
    </row>
    <row r="6" spans="1:16" x14ac:dyDescent="0.2">
      <c r="A6">
        <v>5</v>
      </c>
      <c r="B6" t="s">
        <v>6</v>
      </c>
      <c r="C6">
        <v>6</v>
      </c>
      <c r="G6" s="6" t="s">
        <v>123</v>
      </c>
      <c r="H6" s="6">
        <v>4</v>
      </c>
      <c r="I6" s="6" t="s">
        <v>124</v>
      </c>
      <c r="J6" s="6">
        <v>280</v>
      </c>
      <c r="M6" t="s">
        <v>98</v>
      </c>
      <c r="N6">
        <v>7</v>
      </c>
      <c r="O6" s="5">
        <v>46169</v>
      </c>
      <c r="P6">
        <v>510</v>
      </c>
    </row>
    <row r="7" spans="1:16" x14ac:dyDescent="0.2">
      <c r="A7">
        <v>6</v>
      </c>
      <c r="B7" t="s">
        <v>7</v>
      </c>
      <c r="G7" t="s">
        <v>101</v>
      </c>
      <c r="H7">
        <v>6</v>
      </c>
      <c r="I7" s="5">
        <v>46162</v>
      </c>
      <c r="J7">
        <v>350</v>
      </c>
      <c r="M7" t="s">
        <v>104</v>
      </c>
      <c r="N7">
        <v>7</v>
      </c>
      <c r="O7" t="s">
        <v>130</v>
      </c>
      <c r="P7">
        <v>420</v>
      </c>
    </row>
    <row r="8" spans="1:16" x14ac:dyDescent="0.2">
      <c r="A8">
        <v>7</v>
      </c>
      <c r="B8" t="s">
        <v>8</v>
      </c>
      <c r="G8" t="s">
        <v>125</v>
      </c>
      <c r="H8">
        <v>1</v>
      </c>
      <c r="I8" s="5" t="s">
        <v>126</v>
      </c>
      <c r="J8">
        <v>50</v>
      </c>
      <c r="M8" t="s">
        <v>100</v>
      </c>
      <c r="N8">
        <v>7</v>
      </c>
      <c r="O8" s="5">
        <v>46166</v>
      </c>
      <c r="P8">
        <v>430</v>
      </c>
    </row>
    <row r="9" spans="1:16" x14ac:dyDescent="0.2">
      <c r="A9">
        <v>8</v>
      </c>
      <c r="B9" t="s">
        <v>9</v>
      </c>
      <c r="C9">
        <v>1</v>
      </c>
      <c r="G9" t="s">
        <v>106</v>
      </c>
      <c r="H9">
        <v>6</v>
      </c>
      <c r="I9" s="5" t="s">
        <v>102</v>
      </c>
      <c r="J9">
        <v>360</v>
      </c>
      <c r="M9" t="s">
        <v>106</v>
      </c>
      <c r="N9">
        <v>6</v>
      </c>
      <c r="O9" t="s">
        <v>102</v>
      </c>
      <c r="P9">
        <v>360</v>
      </c>
    </row>
    <row r="10" spans="1:16" x14ac:dyDescent="0.2">
      <c r="A10">
        <v>9</v>
      </c>
      <c r="B10" t="s">
        <v>10</v>
      </c>
      <c r="C10">
        <v>6</v>
      </c>
      <c r="G10" t="s">
        <v>116</v>
      </c>
      <c r="H10">
        <v>5</v>
      </c>
      <c r="I10" s="5" t="s">
        <v>112</v>
      </c>
      <c r="J10">
        <v>330</v>
      </c>
      <c r="M10" t="s">
        <v>99</v>
      </c>
      <c r="N10">
        <v>6</v>
      </c>
      <c r="O10" s="5">
        <v>46163</v>
      </c>
      <c r="P10">
        <v>400</v>
      </c>
    </row>
    <row r="11" spans="1:16" x14ac:dyDescent="0.2">
      <c r="A11">
        <v>10</v>
      </c>
      <c r="B11" t="s">
        <v>11</v>
      </c>
      <c r="C11">
        <v>5</v>
      </c>
      <c r="G11" t="s">
        <v>99</v>
      </c>
      <c r="H11">
        <v>6</v>
      </c>
      <c r="I11" s="5">
        <v>46163</v>
      </c>
      <c r="J11">
        <v>400</v>
      </c>
      <c r="M11" t="s">
        <v>101</v>
      </c>
      <c r="N11">
        <v>6</v>
      </c>
      <c r="O11" t="s">
        <v>102</v>
      </c>
      <c r="P11">
        <v>380</v>
      </c>
    </row>
    <row r="12" spans="1:16" x14ac:dyDescent="0.2">
      <c r="A12">
        <v>11</v>
      </c>
      <c r="B12" t="s">
        <v>12</v>
      </c>
      <c r="C12">
        <v>6</v>
      </c>
      <c r="G12" t="s">
        <v>13</v>
      </c>
      <c r="H12">
        <v>4</v>
      </c>
      <c r="I12" s="5">
        <v>46156</v>
      </c>
      <c r="J12">
        <v>250</v>
      </c>
      <c r="M12" t="s">
        <v>103</v>
      </c>
      <c r="N12">
        <v>6</v>
      </c>
      <c r="O12" s="5">
        <v>46162</v>
      </c>
      <c r="P12">
        <v>380</v>
      </c>
    </row>
    <row r="13" spans="1:16" x14ac:dyDescent="0.2">
      <c r="A13">
        <v>12</v>
      </c>
      <c r="B13" t="s">
        <v>13</v>
      </c>
      <c r="C13">
        <v>4</v>
      </c>
      <c r="G13" t="s">
        <v>127</v>
      </c>
      <c r="H13">
        <v>4</v>
      </c>
      <c r="I13" t="s">
        <v>121</v>
      </c>
      <c r="J13">
        <v>250</v>
      </c>
      <c r="M13" t="s">
        <v>28</v>
      </c>
      <c r="N13">
        <v>6</v>
      </c>
      <c r="O13" t="s">
        <v>105</v>
      </c>
      <c r="P13">
        <v>390</v>
      </c>
    </row>
    <row r="14" spans="1:16" x14ac:dyDescent="0.2">
      <c r="A14">
        <v>13</v>
      </c>
      <c r="B14" t="s">
        <v>14</v>
      </c>
      <c r="C14">
        <v>4</v>
      </c>
      <c r="G14" t="s">
        <v>16</v>
      </c>
      <c r="H14">
        <v>6</v>
      </c>
      <c r="I14" t="s">
        <v>102</v>
      </c>
      <c r="J14">
        <v>300</v>
      </c>
      <c r="M14" t="s">
        <v>107</v>
      </c>
      <c r="N14">
        <v>6</v>
      </c>
      <c r="O14" t="s">
        <v>105</v>
      </c>
      <c r="P14">
        <v>320</v>
      </c>
    </row>
    <row r="15" spans="1:16" x14ac:dyDescent="0.2">
      <c r="A15">
        <v>14</v>
      </c>
      <c r="B15" t="s">
        <v>15</v>
      </c>
      <c r="C15">
        <v>3</v>
      </c>
      <c r="G15" s="6" t="s">
        <v>107</v>
      </c>
      <c r="H15" s="6">
        <v>6</v>
      </c>
      <c r="I15" s="6" t="s">
        <v>105</v>
      </c>
      <c r="J15" s="6">
        <v>320</v>
      </c>
      <c r="M15" t="s">
        <v>16</v>
      </c>
      <c r="N15">
        <v>6</v>
      </c>
      <c r="O15" t="s">
        <v>102</v>
      </c>
      <c r="P15">
        <v>300</v>
      </c>
    </row>
    <row r="16" spans="1:16" x14ac:dyDescent="0.2">
      <c r="A16">
        <v>15</v>
      </c>
      <c r="B16" t="s">
        <v>16</v>
      </c>
      <c r="C16">
        <v>6</v>
      </c>
      <c r="G16" t="s">
        <v>128</v>
      </c>
      <c r="H16">
        <v>3</v>
      </c>
      <c r="I16" t="s">
        <v>129</v>
      </c>
      <c r="J16">
        <v>150</v>
      </c>
      <c r="M16" t="s">
        <v>111</v>
      </c>
      <c r="N16">
        <v>5</v>
      </c>
      <c r="O16" t="s">
        <v>112</v>
      </c>
      <c r="P16">
        <v>360</v>
      </c>
    </row>
    <row r="17" spans="1:16" x14ac:dyDescent="0.2">
      <c r="A17">
        <v>16</v>
      </c>
      <c r="B17" t="s">
        <v>17</v>
      </c>
      <c r="C17">
        <v>5</v>
      </c>
      <c r="G17" s="6" t="s">
        <v>104</v>
      </c>
      <c r="H17" s="6">
        <v>7</v>
      </c>
      <c r="I17" s="6" t="s">
        <v>130</v>
      </c>
      <c r="J17" s="6">
        <v>420</v>
      </c>
      <c r="M17" t="s">
        <v>113</v>
      </c>
      <c r="N17">
        <v>5</v>
      </c>
      <c r="O17" s="5">
        <v>46160</v>
      </c>
      <c r="P17">
        <v>330</v>
      </c>
    </row>
    <row r="18" spans="1:16" x14ac:dyDescent="0.2">
      <c r="A18">
        <v>17</v>
      </c>
      <c r="B18" t="s">
        <v>18</v>
      </c>
      <c r="C18">
        <v>6</v>
      </c>
      <c r="G18" s="6" t="s">
        <v>98</v>
      </c>
      <c r="H18" s="6">
        <v>7</v>
      </c>
      <c r="I18" s="7">
        <v>46169</v>
      </c>
      <c r="J18" s="6">
        <v>510</v>
      </c>
      <c r="M18" t="s">
        <v>32</v>
      </c>
      <c r="N18">
        <v>5</v>
      </c>
      <c r="O18" t="s">
        <v>110</v>
      </c>
      <c r="P18">
        <v>340</v>
      </c>
    </row>
    <row r="19" spans="1:16" x14ac:dyDescent="0.2">
      <c r="A19">
        <v>18</v>
      </c>
      <c r="B19" t="s">
        <v>19</v>
      </c>
      <c r="C19">
        <v>2</v>
      </c>
      <c r="G19" t="s">
        <v>131</v>
      </c>
      <c r="H19">
        <v>1</v>
      </c>
      <c r="I19" t="s">
        <v>119</v>
      </c>
      <c r="J19">
        <v>70</v>
      </c>
      <c r="M19" t="s">
        <v>114</v>
      </c>
      <c r="N19">
        <v>5</v>
      </c>
      <c r="O19" s="5">
        <v>46160</v>
      </c>
      <c r="P19">
        <v>330</v>
      </c>
    </row>
    <row r="20" spans="1:16" x14ac:dyDescent="0.2">
      <c r="A20">
        <v>19</v>
      </c>
      <c r="B20" t="s">
        <v>20</v>
      </c>
      <c r="C20">
        <v>6</v>
      </c>
      <c r="G20" s="6" t="s">
        <v>132</v>
      </c>
      <c r="H20" s="6">
        <v>1</v>
      </c>
      <c r="I20" s="7">
        <v>46147</v>
      </c>
      <c r="J20" s="6">
        <v>100</v>
      </c>
      <c r="M20" t="s">
        <v>115</v>
      </c>
      <c r="N20">
        <v>5</v>
      </c>
      <c r="O20" s="5">
        <v>46160</v>
      </c>
      <c r="P20">
        <v>320</v>
      </c>
    </row>
    <row r="21" spans="1:16" x14ac:dyDescent="0.2">
      <c r="A21">
        <v>20</v>
      </c>
      <c r="B21" t="s">
        <v>21</v>
      </c>
      <c r="C21">
        <v>5</v>
      </c>
      <c r="G21" s="6" t="s">
        <v>133</v>
      </c>
      <c r="H21" s="6">
        <v>2</v>
      </c>
      <c r="I21" s="7" t="s">
        <v>134</v>
      </c>
      <c r="J21" s="6">
        <v>170</v>
      </c>
      <c r="M21" t="s">
        <v>116</v>
      </c>
      <c r="N21">
        <v>5</v>
      </c>
      <c r="O21" t="s">
        <v>110</v>
      </c>
      <c r="P21">
        <v>350</v>
      </c>
    </row>
    <row r="22" spans="1:16" x14ac:dyDescent="0.2">
      <c r="A22">
        <v>21</v>
      </c>
      <c r="B22" t="s">
        <v>22</v>
      </c>
      <c r="G22" s="6" t="s">
        <v>97</v>
      </c>
      <c r="H22" s="6">
        <v>7</v>
      </c>
      <c r="I22" s="7">
        <v>46168</v>
      </c>
      <c r="J22" s="6">
        <v>530</v>
      </c>
      <c r="M22" t="s">
        <v>108</v>
      </c>
      <c r="N22">
        <v>5</v>
      </c>
      <c r="O22" s="5">
        <v>46160</v>
      </c>
      <c r="P22">
        <v>330</v>
      </c>
    </row>
    <row r="23" spans="1:16" x14ac:dyDescent="0.2">
      <c r="A23">
        <v>22</v>
      </c>
      <c r="B23" t="s">
        <v>23</v>
      </c>
      <c r="C23">
        <v>5</v>
      </c>
      <c r="G23" t="s">
        <v>135</v>
      </c>
      <c r="H23">
        <v>5</v>
      </c>
      <c r="I23" s="5" t="s">
        <v>136</v>
      </c>
      <c r="J23">
        <v>310</v>
      </c>
      <c r="M23" t="s">
        <v>109</v>
      </c>
      <c r="N23">
        <v>5</v>
      </c>
      <c r="O23" t="s">
        <v>110</v>
      </c>
      <c r="P23">
        <v>340</v>
      </c>
    </row>
    <row r="24" spans="1:16" x14ac:dyDescent="0.2">
      <c r="A24">
        <v>23</v>
      </c>
      <c r="B24" t="s">
        <v>24</v>
      </c>
      <c r="G24" t="s">
        <v>111</v>
      </c>
      <c r="H24">
        <v>5</v>
      </c>
      <c r="I24" s="5" t="s">
        <v>112</v>
      </c>
      <c r="J24">
        <v>360</v>
      </c>
      <c r="M24" t="s">
        <v>137</v>
      </c>
      <c r="N24">
        <v>5</v>
      </c>
      <c r="O24" s="5">
        <v>46159</v>
      </c>
      <c r="P24">
        <v>350</v>
      </c>
    </row>
    <row r="25" spans="1:16" x14ac:dyDescent="0.2">
      <c r="A25">
        <v>24</v>
      </c>
      <c r="B25" t="s">
        <v>25</v>
      </c>
      <c r="C25">
        <v>7</v>
      </c>
      <c r="G25" t="s">
        <v>25</v>
      </c>
      <c r="H25">
        <v>7</v>
      </c>
      <c r="I25" t="s">
        <v>96</v>
      </c>
      <c r="J25">
        <v>470</v>
      </c>
      <c r="M25" t="s">
        <v>135</v>
      </c>
      <c r="N25">
        <v>5</v>
      </c>
      <c r="O25" t="s">
        <v>136</v>
      </c>
      <c r="P25">
        <v>310</v>
      </c>
    </row>
    <row r="26" spans="1:16" x14ac:dyDescent="0.2">
      <c r="A26">
        <v>25</v>
      </c>
      <c r="B26" t="s">
        <v>26</v>
      </c>
      <c r="G26" t="s">
        <v>137</v>
      </c>
      <c r="H26">
        <v>4</v>
      </c>
      <c r="I26" s="5">
        <v>46155</v>
      </c>
      <c r="J26">
        <v>280</v>
      </c>
      <c r="M26" t="s">
        <v>117</v>
      </c>
      <c r="N26">
        <v>4</v>
      </c>
      <c r="O26" s="5">
        <v>46157</v>
      </c>
      <c r="P26">
        <v>260</v>
      </c>
    </row>
    <row r="27" spans="1:16" x14ac:dyDescent="0.2">
      <c r="A27">
        <v>26</v>
      </c>
      <c r="B27" t="s">
        <v>27</v>
      </c>
      <c r="C27">
        <v>5</v>
      </c>
      <c r="G27" t="s">
        <v>113</v>
      </c>
      <c r="H27">
        <v>5</v>
      </c>
      <c r="I27" s="5">
        <v>46160</v>
      </c>
      <c r="J27">
        <v>330</v>
      </c>
      <c r="M27" t="s">
        <v>13</v>
      </c>
      <c r="N27">
        <v>4</v>
      </c>
      <c r="O27" s="5">
        <v>46156</v>
      </c>
      <c r="P27">
        <v>250</v>
      </c>
    </row>
    <row r="28" spans="1:16" x14ac:dyDescent="0.2">
      <c r="A28">
        <v>27</v>
      </c>
      <c r="B28" t="s">
        <v>28</v>
      </c>
      <c r="C28">
        <v>6</v>
      </c>
      <c r="G28" t="s">
        <v>28</v>
      </c>
      <c r="H28">
        <v>6</v>
      </c>
      <c r="I28" t="s">
        <v>105</v>
      </c>
      <c r="J28">
        <v>390</v>
      </c>
      <c r="M28" t="s">
        <v>138</v>
      </c>
      <c r="N28">
        <v>4</v>
      </c>
      <c r="O28" t="s">
        <v>124</v>
      </c>
      <c r="P28">
        <v>260</v>
      </c>
    </row>
    <row r="29" spans="1:16" x14ac:dyDescent="0.2">
      <c r="A29">
        <v>28</v>
      </c>
      <c r="B29" t="s">
        <v>29</v>
      </c>
      <c r="C29">
        <v>6</v>
      </c>
      <c r="G29" s="6" t="s">
        <v>109</v>
      </c>
      <c r="H29" s="6">
        <v>5</v>
      </c>
      <c r="I29" s="6" t="s">
        <v>110</v>
      </c>
      <c r="J29" s="6">
        <v>340</v>
      </c>
      <c r="M29" t="s">
        <v>127</v>
      </c>
      <c r="N29">
        <v>4</v>
      </c>
      <c r="O29" t="s">
        <v>121</v>
      </c>
      <c r="P29">
        <v>250</v>
      </c>
    </row>
    <row r="30" spans="1:16" x14ac:dyDescent="0.2">
      <c r="A30">
        <v>29</v>
      </c>
      <c r="B30" t="s">
        <v>30</v>
      </c>
      <c r="C30">
        <v>5</v>
      </c>
      <c r="G30" s="6" t="s">
        <v>138</v>
      </c>
      <c r="H30" s="6">
        <v>4</v>
      </c>
      <c r="I30" s="6" t="s">
        <v>124</v>
      </c>
      <c r="J30" s="6">
        <v>260</v>
      </c>
      <c r="M30" t="s">
        <v>120</v>
      </c>
      <c r="N30">
        <v>4</v>
      </c>
      <c r="O30" t="s">
        <v>121</v>
      </c>
      <c r="P30">
        <v>300</v>
      </c>
    </row>
    <row r="31" spans="1:16" x14ac:dyDescent="0.2">
      <c r="A31">
        <v>30</v>
      </c>
      <c r="B31" t="s">
        <v>31</v>
      </c>
      <c r="C31">
        <v>8</v>
      </c>
      <c r="G31" s="6" t="s">
        <v>100</v>
      </c>
      <c r="H31" s="6">
        <v>7</v>
      </c>
      <c r="I31" s="7">
        <v>46166</v>
      </c>
      <c r="J31" s="6">
        <v>430</v>
      </c>
      <c r="M31" t="s">
        <v>140</v>
      </c>
      <c r="N31">
        <v>4</v>
      </c>
      <c r="O31" t="s">
        <v>121</v>
      </c>
      <c r="P31">
        <v>240</v>
      </c>
    </row>
    <row r="32" spans="1:16" x14ac:dyDescent="0.2">
      <c r="A32">
        <v>31</v>
      </c>
      <c r="B32" t="s">
        <v>32</v>
      </c>
      <c r="C32">
        <v>5</v>
      </c>
      <c r="G32" t="s">
        <v>32</v>
      </c>
      <c r="H32">
        <v>5</v>
      </c>
      <c r="I32" t="s">
        <v>110</v>
      </c>
      <c r="J32">
        <v>340</v>
      </c>
      <c r="M32" t="s">
        <v>133</v>
      </c>
      <c r="N32">
        <v>2</v>
      </c>
      <c r="O32" t="s">
        <v>134</v>
      </c>
      <c r="P32">
        <v>170</v>
      </c>
    </row>
    <row r="33" spans="1:16" x14ac:dyDescent="0.2">
      <c r="A33">
        <v>32</v>
      </c>
      <c r="B33" t="s">
        <v>33</v>
      </c>
      <c r="C33">
        <v>2</v>
      </c>
      <c r="G33" t="s">
        <v>139</v>
      </c>
      <c r="H33">
        <v>2</v>
      </c>
      <c r="I33" t="s">
        <v>134</v>
      </c>
      <c r="J33">
        <v>140</v>
      </c>
      <c r="M33" t="s">
        <v>132</v>
      </c>
      <c r="N33">
        <v>1</v>
      </c>
      <c r="O33" s="5">
        <v>46147</v>
      </c>
      <c r="P33">
        <v>100</v>
      </c>
    </row>
    <row r="34" spans="1:16" x14ac:dyDescent="0.2">
      <c r="A34">
        <v>33</v>
      </c>
      <c r="B34" t="s">
        <v>34</v>
      </c>
      <c r="C34">
        <v>3</v>
      </c>
      <c r="G34" s="6" t="s">
        <v>115</v>
      </c>
      <c r="H34" s="6">
        <v>5</v>
      </c>
      <c r="I34" s="7">
        <v>46160</v>
      </c>
      <c r="J34" s="6">
        <v>320</v>
      </c>
    </row>
    <row r="35" spans="1:16" x14ac:dyDescent="0.2">
      <c r="A35">
        <v>34</v>
      </c>
      <c r="B35" t="s">
        <v>35</v>
      </c>
      <c r="C35">
        <v>5</v>
      </c>
      <c r="G35" t="s">
        <v>117</v>
      </c>
      <c r="H35">
        <v>3</v>
      </c>
      <c r="I35" s="5">
        <v>46153</v>
      </c>
      <c r="J35">
        <v>200</v>
      </c>
      <c r="M35" t="s">
        <v>157</v>
      </c>
      <c r="N35">
        <v>1</v>
      </c>
      <c r="O35" t="s">
        <v>119</v>
      </c>
      <c r="P35">
        <v>100</v>
      </c>
    </row>
    <row r="36" spans="1:16" x14ac:dyDescent="0.2">
      <c r="A36">
        <v>35</v>
      </c>
      <c r="B36" t="s">
        <v>36</v>
      </c>
      <c r="C36">
        <v>6</v>
      </c>
      <c r="G36" t="s">
        <v>114</v>
      </c>
      <c r="H36">
        <v>5</v>
      </c>
      <c r="I36" s="5">
        <v>46160</v>
      </c>
      <c r="J36">
        <v>330</v>
      </c>
      <c r="M36" t="s">
        <v>139</v>
      </c>
      <c r="N36">
        <v>2</v>
      </c>
      <c r="O36" t="s">
        <v>134</v>
      </c>
      <c r="P36">
        <v>140</v>
      </c>
    </row>
    <row r="37" spans="1:16" x14ac:dyDescent="0.2">
      <c r="A37">
        <v>36</v>
      </c>
      <c r="B37" t="s">
        <v>37</v>
      </c>
      <c r="C37">
        <v>6</v>
      </c>
      <c r="G37" t="s">
        <v>103</v>
      </c>
      <c r="H37">
        <v>6</v>
      </c>
      <c r="I37" s="5">
        <v>46162</v>
      </c>
      <c r="J37">
        <v>380</v>
      </c>
      <c r="M37" t="s">
        <v>128</v>
      </c>
      <c r="N37">
        <v>3</v>
      </c>
      <c r="O37" t="s">
        <v>129</v>
      </c>
      <c r="P37">
        <v>150</v>
      </c>
    </row>
    <row r="38" spans="1:16" x14ac:dyDescent="0.2">
      <c r="A38">
        <v>37</v>
      </c>
      <c r="B38" t="s">
        <v>38</v>
      </c>
      <c r="C38">
        <v>7</v>
      </c>
      <c r="G38" t="s">
        <v>38</v>
      </c>
      <c r="H38">
        <v>7</v>
      </c>
      <c r="I38" s="5">
        <v>46169</v>
      </c>
      <c r="J38">
        <v>490</v>
      </c>
      <c r="M38" t="s">
        <v>125</v>
      </c>
      <c r="N38">
        <v>1</v>
      </c>
      <c r="O38" t="s">
        <v>126</v>
      </c>
      <c r="P38">
        <v>50</v>
      </c>
    </row>
    <row r="39" spans="1:16" x14ac:dyDescent="0.2">
      <c r="A39">
        <v>38</v>
      </c>
      <c r="B39" t="s">
        <v>39</v>
      </c>
      <c r="C39">
        <v>5</v>
      </c>
      <c r="G39" s="6" t="s">
        <v>140</v>
      </c>
      <c r="H39" s="6">
        <v>4</v>
      </c>
      <c r="I39" s="6" t="s">
        <v>121</v>
      </c>
      <c r="J39" s="6">
        <v>240</v>
      </c>
    </row>
    <row r="40" spans="1:16" x14ac:dyDescent="0.2">
      <c r="A40">
        <v>39</v>
      </c>
      <c r="B40" t="s">
        <v>40</v>
      </c>
      <c r="C40">
        <v>4</v>
      </c>
    </row>
    <row r="41" spans="1:16" x14ac:dyDescent="0.2">
      <c r="A41">
        <v>40</v>
      </c>
      <c r="B41" t="s">
        <v>41</v>
      </c>
      <c r="C41">
        <v>6</v>
      </c>
    </row>
    <row r="42" spans="1:16" x14ac:dyDescent="0.2">
      <c r="A42">
        <v>41</v>
      </c>
      <c r="B42" t="s">
        <v>42</v>
      </c>
      <c r="C4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E720-8288-D049-816C-580CD24581FD}">
  <dimension ref="A1:J42"/>
  <sheetViews>
    <sheetView zoomScale="115" workbookViewId="0">
      <selection activeCell="C41" sqref="C41"/>
    </sheetView>
  </sheetViews>
  <sheetFormatPr baseColWidth="10" defaultRowHeight="16" x14ac:dyDescent="0.2"/>
  <cols>
    <col min="2" max="2" width="13.6640625" customWidth="1"/>
  </cols>
  <sheetData>
    <row r="1" spans="1:10" x14ac:dyDescent="0.2">
      <c r="A1" s="1" t="s">
        <v>0</v>
      </c>
      <c r="B1" s="1" t="s">
        <v>1</v>
      </c>
      <c r="C1" t="s">
        <v>43</v>
      </c>
      <c r="D1" t="s">
        <v>44</v>
      </c>
      <c r="G1" t="s">
        <v>91</v>
      </c>
      <c r="H1" t="s">
        <v>92</v>
      </c>
      <c r="I1" t="s">
        <v>93</v>
      </c>
      <c r="J1" t="s">
        <v>94</v>
      </c>
    </row>
    <row r="2" spans="1:10" x14ac:dyDescent="0.2">
      <c r="A2">
        <v>1</v>
      </c>
      <c r="B2" t="s">
        <v>2</v>
      </c>
      <c r="G2" t="s">
        <v>137</v>
      </c>
      <c r="H2">
        <v>6</v>
      </c>
      <c r="I2" s="5">
        <v>46162</v>
      </c>
      <c r="J2">
        <v>390</v>
      </c>
    </row>
    <row r="3" spans="1:10" x14ac:dyDescent="0.2">
      <c r="A3">
        <v>2</v>
      </c>
      <c r="B3" t="s">
        <v>3</v>
      </c>
      <c r="C3">
        <v>4</v>
      </c>
      <c r="G3" t="s">
        <v>104</v>
      </c>
      <c r="H3">
        <v>5</v>
      </c>
      <c r="I3" s="5">
        <v>46159</v>
      </c>
      <c r="J3">
        <v>310</v>
      </c>
    </row>
    <row r="4" spans="1:10" x14ac:dyDescent="0.2">
      <c r="A4">
        <v>3</v>
      </c>
      <c r="B4" t="s">
        <v>4</v>
      </c>
      <c r="C4">
        <v>4</v>
      </c>
      <c r="G4" t="s">
        <v>123</v>
      </c>
      <c r="H4">
        <v>4</v>
      </c>
      <c r="I4" t="s">
        <v>121</v>
      </c>
      <c r="J4">
        <v>280</v>
      </c>
    </row>
    <row r="5" spans="1:10" x14ac:dyDescent="0.2">
      <c r="A5">
        <v>4</v>
      </c>
      <c r="B5" t="s">
        <v>5</v>
      </c>
      <c r="C5">
        <v>5</v>
      </c>
      <c r="G5" t="s">
        <v>106</v>
      </c>
      <c r="H5">
        <v>5</v>
      </c>
      <c r="I5" t="s">
        <v>136</v>
      </c>
      <c r="J5">
        <v>330</v>
      </c>
    </row>
    <row r="6" spans="1:10" x14ac:dyDescent="0.2">
      <c r="A6">
        <v>5</v>
      </c>
      <c r="B6" t="s">
        <v>6</v>
      </c>
      <c r="C6">
        <v>3</v>
      </c>
      <c r="G6" t="s">
        <v>99</v>
      </c>
      <c r="H6">
        <v>3</v>
      </c>
      <c r="I6" t="s">
        <v>156</v>
      </c>
      <c r="J6">
        <v>260</v>
      </c>
    </row>
    <row r="7" spans="1:10" x14ac:dyDescent="0.2">
      <c r="A7">
        <v>6</v>
      </c>
      <c r="B7" t="s">
        <v>7</v>
      </c>
      <c r="G7" t="s">
        <v>140</v>
      </c>
      <c r="H7">
        <v>4</v>
      </c>
      <c r="I7" s="5">
        <v>46155</v>
      </c>
      <c r="J7">
        <v>260</v>
      </c>
    </row>
    <row r="8" spans="1:10" x14ac:dyDescent="0.2">
      <c r="A8">
        <v>7</v>
      </c>
      <c r="B8" t="s">
        <v>8</v>
      </c>
      <c r="G8" t="s">
        <v>98</v>
      </c>
      <c r="H8">
        <v>4</v>
      </c>
      <c r="I8" t="s">
        <v>121</v>
      </c>
      <c r="J8">
        <v>250</v>
      </c>
    </row>
    <row r="9" spans="1:10" x14ac:dyDescent="0.2">
      <c r="A9">
        <v>8</v>
      </c>
      <c r="B9" t="s">
        <v>9</v>
      </c>
      <c r="C9">
        <v>7</v>
      </c>
      <c r="G9" t="s">
        <v>111</v>
      </c>
      <c r="H9">
        <v>5</v>
      </c>
      <c r="I9" t="s">
        <v>136</v>
      </c>
      <c r="J9">
        <v>320</v>
      </c>
    </row>
    <row r="10" spans="1:10" x14ac:dyDescent="0.2">
      <c r="A10">
        <v>9</v>
      </c>
      <c r="B10" t="s">
        <v>10</v>
      </c>
      <c r="C10">
        <v>6</v>
      </c>
      <c r="G10" t="s">
        <v>25</v>
      </c>
      <c r="H10">
        <v>3</v>
      </c>
      <c r="I10" s="5">
        <v>46152</v>
      </c>
      <c r="J10">
        <v>210</v>
      </c>
    </row>
    <row r="11" spans="1:10" x14ac:dyDescent="0.2">
      <c r="A11">
        <v>10</v>
      </c>
      <c r="B11" t="s">
        <v>11</v>
      </c>
      <c r="C11">
        <v>8</v>
      </c>
      <c r="G11" t="s">
        <v>138</v>
      </c>
      <c r="H11">
        <v>4</v>
      </c>
      <c r="I11" t="s">
        <v>121</v>
      </c>
      <c r="J11">
        <v>260</v>
      </c>
    </row>
    <row r="12" spans="1:10" x14ac:dyDescent="0.2">
      <c r="A12">
        <v>11</v>
      </c>
      <c r="B12" t="s">
        <v>12</v>
      </c>
      <c r="C12">
        <v>3</v>
      </c>
      <c r="G12" t="s">
        <v>113</v>
      </c>
      <c r="H12">
        <v>4</v>
      </c>
      <c r="I12" t="s">
        <v>121</v>
      </c>
      <c r="J12">
        <v>260</v>
      </c>
    </row>
    <row r="13" spans="1:10" x14ac:dyDescent="0.2">
      <c r="A13">
        <v>12</v>
      </c>
      <c r="B13" t="s">
        <v>13</v>
      </c>
      <c r="C13">
        <v>4</v>
      </c>
      <c r="G13" t="s">
        <v>109</v>
      </c>
      <c r="H13">
        <v>4</v>
      </c>
      <c r="I13" t="s">
        <v>121</v>
      </c>
      <c r="J13">
        <v>260</v>
      </c>
    </row>
    <row r="14" spans="1:10" x14ac:dyDescent="0.2">
      <c r="A14">
        <v>13</v>
      </c>
      <c r="B14" t="s">
        <v>14</v>
      </c>
      <c r="C14">
        <v>4</v>
      </c>
      <c r="G14" t="s">
        <v>97</v>
      </c>
      <c r="H14">
        <v>5</v>
      </c>
      <c r="I14" s="5">
        <v>46159</v>
      </c>
      <c r="J14">
        <v>310</v>
      </c>
    </row>
    <row r="15" spans="1:10" x14ac:dyDescent="0.2">
      <c r="A15">
        <v>14</v>
      </c>
      <c r="B15" t="s">
        <v>15</v>
      </c>
      <c r="C15">
        <v>5</v>
      </c>
      <c r="G15" t="s">
        <v>16</v>
      </c>
      <c r="H15">
        <v>4</v>
      </c>
      <c r="I15" s="5">
        <v>46156</v>
      </c>
      <c r="J15">
        <v>260</v>
      </c>
    </row>
    <row r="16" spans="1:10" x14ac:dyDescent="0.2">
      <c r="A16">
        <v>15</v>
      </c>
      <c r="B16" t="s">
        <v>16</v>
      </c>
      <c r="C16">
        <v>6</v>
      </c>
      <c r="G16" t="s">
        <v>100</v>
      </c>
      <c r="H16">
        <v>4</v>
      </c>
      <c r="I16" s="5">
        <v>46156</v>
      </c>
      <c r="J16">
        <v>260</v>
      </c>
    </row>
    <row r="17" spans="1:10" x14ac:dyDescent="0.2">
      <c r="A17">
        <v>16</v>
      </c>
      <c r="B17" t="s">
        <v>17</v>
      </c>
      <c r="C17">
        <v>5</v>
      </c>
      <c r="G17" t="s">
        <v>108</v>
      </c>
      <c r="H17">
        <v>4</v>
      </c>
      <c r="I17" t="s">
        <v>121</v>
      </c>
      <c r="J17">
        <v>260</v>
      </c>
    </row>
    <row r="18" spans="1:10" x14ac:dyDescent="0.2">
      <c r="A18">
        <v>17</v>
      </c>
      <c r="B18" t="s">
        <v>18</v>
      </c>
      <c r="C18">
        <v>6</v>
      </c>
      <c r="G18" t="s">
        <v>115</v>
      </c>
      <c r="H18">
        <v>3</v>
      </c>
      <c r="I18" s="5">
        <v>46152</v>
      </c>
      <c r="J18">
        <v>210</v>
      </c>
    </row>
    <row r="19" spans="1:10" x14ac:dyDescent="0.2">
      <c r="A19">
        <v>18</v>
      </c>
      <c r="B19" t="s">
        <v>19</v>
      </c>
      <c r="C19">
        <v>2</v>
      </c>
      <c r="G19" t="s">
        <v>13</v>
      </c>
      <c r="H19">
        <v>3</v>
      </c>
      <c r="I19" t="s">
        <v>156</v>
      </c>
      <c r="J19">
        <v>210</v>
      </c>
    </row>
    <row r="20" spans="1:10" x14ac:dyDescent="0.2">
      <c r="A20">
        <v>19</v>
      </c>
      <c r="B20" t="s">
        <v>20</v>
      </c>
      <c r="C20">
        <v>8</v>
      </c>
      <c r="G20" t="s">
        <v>127</v>
      </c>
      <c r="H20">
        <v>3</v>
      </c>
      <c r="I20" t="s">
        <v>156</v>
      </c>
      <c r="J20">
        <v>210</v>
      </c>
    </row>
    <row r="21" spans="1:10" x14ac:dyDescent="0.2">
      <c r="A21">
        <v>20</v>
      </c>
      <c r="B21" t="s">
        <v>21</v>
      </c>
      <c r="C21">
        <v>3</v>
      </c>
      <c r="G21" t="s">
        <v>103</v>
      </c>
      <c r="H21">
        <v>4</v>
      </c>
      <c r="I21" s="5">
        <v>46156</v>
      </c>
      <c r="J21">
        <v>260</v>
      </c>
    </row>
    <row r="22" spans="1:10" x14ac:dyDescent="0.2">
      <c r="A22">
        <v>21</v>
      </c>
      <c r="B22" t="s">
        <v>22</v>
      </c>
      <c r="G22" t="s">
        <v>32</v>
      </c>
      <c r="H22">
        <v>3</v>
      </c>
      <c r="I22" s="5">
        <v>46152</v>
      </c>
      <c r="J22">
        <v>210</v>
      </c>
    </row>
    <row r="23" spans="1:10" x14ac:dyDescent="0.2">
      <c r="A23">
        <v>22</v>
      </c>
      <c r="B23" t="s">
        <v>23</v>
      </c>
      <c r="C23">
        <v>7</v>
      </c>
      <c r="G23" t="s">
        <v>28</v>
      </c>
      <c r="H23">
        <v>4</v>
      </c>
      <c r="I23" s="5">
        <v>46156</v>
      </c>
      <c r="J23">
        <v>260</v>
      </c>
    </row>
    <row r="24" spans="1:10" x14ac:dyDescent="0.2">
      <c r="A24">
        <v>23</v>
      </c>
      <c r="B24" t="s">
        <v>24</v>
      </c>
      <c r="C24">
        <v>1</v>
      </c>
      <c r="G24" t="s">
        <v>38</v>
      </c>
      <c r="H24">
        <v>3</v>
      </c>
      <c r="I24" s="5">
        <v>46152</v>
      </c>
      <c r="J24">
        <v>210</v>
      </c>
    </row>
    <row r="25" spans="1:10" x14ac:dyDescent="0.2">
      <c r="A25">
        <v>24</v>
      </c>
      <c r="B25" t="s">
        <v>25</v>
      </c>
      <c r="C25">
        <v>2</v>
      </c>
      <c r="G25" t="s">
        <v>107</v>
      </c>
      <c r="H25">
        <v>4</v>
      </c>
      <c r="I25" s="5">
        <v>46156</v>
      </c>
      <c r="J25">
        <v>260</v>
      </c>
    </row>
    <row r="26" spans="1:10" x14ac:dyDescent="0.2">
      <c r="A26">
        <v>25</v>
      </c>
      <c r="B26" t="s">
        <v>26</v>
      </c>
      <c r="G26" t="s">
        <v>117</v>
      </c>
      <c r="H26">
        <v>3</v>
      </c>
      <c r="I26" s="5">
        <v>46152</v>
      </c>
      <c r="J26">
        <v>210</v>
      </c>
    </row>
    <row r="27" spans="1:10" x14ac:dyDescent="0.2">
      <c r="A27">
        <v>26</v>
      </c>
      <c r="B27" t="s">
        <v>27</v>
      </c>
      <c r="C27">
        <v>4</v>
      </c>
      <c r="G27" t="s">
        <v>101</v>
      </c>
      <c r="H27">
        <v>3</v>
      </c>
      <c r="I27" s="5">
        <v>46152</v>
      </c>
      <c r="J27">
        <v>210</v>
      </c>
    </row>
    <row r="28" spans="1:10" x14ac:dyDescent="0.2">
      <c r="A28">
        <v>27</v>
      </c>
      <c r="B28" t="s">
        <v>28</v>
      </c>
      <c r="C28">
        <v>5</v>
      </c>
      <c r="G28" t="s">
        <v>133</v>
      </c>
      <c r="H28">
        <v>2</v>
      </c>
      <c r="I28" t="s">
        <v>134</v>
      </c>
      <c r="J28">
        <v>140</v>
      </c>
    </row>
    <row r="29" spans="1:10" x14ac:dyDescent="0.2">
      <c r="A29">
        <v>28</v>
      </c>
      <c r="B29" t="s">
        <v>29</v>
      </c>
      <c r="C29">
        <v>7</v>
      </c>
      <c r="G29" t="s">
        <v>120</v>
      </c>
      <c r="H29">
        <v>3</v>
      </c>
      <c r="I29" s="5">
        <v>46152</v>
      </c>
      <c r="J29">
        <v>210</v>
      </c>
    </row>
    <row r="30" spans="1:10" x14ac:dyDescent="0.2">
      <c r="A30">
        <v>29</v>
      </c>
      <c r="B30" t="s">
        <v>30</v>
      </c>
      <c r="C30">
        <v>5</v>
      </c>
      <c r="G30" t="s">
        <v>125</v>
      </c>
      <c r="H30">
        <v>3</v>
      </c>
      <c r="I30" s="5">
        <v>46152</v>
      </c>
      <c r="J30">
        <v>210</v>
      </c>
    </row>
    <row r="31" spans="1:10" x14ac:dyDescent="0.2">
      <c r="A31">
        <v>30</v>
      </c>
      <c r="B31" t="s">
        <v>31</v>
      </c>
      <c r="C31">
        <v>4</v>
      </c>
      <c r="G31" t="s">
        <v>139</v>
      </c>
      <c r="H31">
        <v>2</v>
      </c>
      <c r="I31" t="s">
        <v>134</v>
      </c>
      <c r="J31">
        <v>140</v>
      </c>
    </row>
    <row r="32" spans="1:10" x14ac:dyDescent="0.2">
      <c r="A32">
        <v>31</v>
      </c>
      <c r="B32" t="s">
        <v>32</v>
      </c>
      <c r="C32">
        <v>4</v>
      </c>
      <c r="G32" t="s">
        <v>128</v>
      </c>
      <c r="H32">
        <v>2</v>
      </c>
      <c r="I32" t="s">
        <v>134</v>
      </c>
      <c r="J32">
        <v>140</v>
      </c>
    </row>
    <row r="33" spans="1:10" x14ac:dyDescent="0.2">
      <c r="A33">
        <v>32</v>
      </c>
      <c r="B33" t="s">
        <v>33</v>
      </c>
      <c r="C33">
        <v>6</v>
      </c>
      <c r="G33" t="s">
        <v>116</v>
      </c>
      <c r="H33">
        <v>4</v>
      </c>
      <c r="I33" s="5">
        <v>46156</v>
      </c>
      <c r="J33">
        <v>260</v>
      </c>
    </row>
    <row r="34" spans="1:10" x14ac:dyDescent="0.2">
      <c r="A34">
        <v>33</v>
      </c>
      <c r="B34" t="s">
        <v>34</v>
      </c>
      <c r="C34">
        <v>4</v>
      </c>
      <c r="G34" t="s">
        <v>95</v>
      </c>
      <c r="H34">
        <v>3</v>
      </c>
      <c r="I34" s="5">
        <v>46152</v>
      </c>
      <c r="J34">
        <v>210</v>
      </c>
    </row>
    <row r="35" spans="1:10" x14ac:dyDescent="0.2">
      <c r="A35">
        <v>34</v>
      </c>
      <c r="B35" t="s">
        <v>35</v>
      </c>
    </row>
    <row r="36" spans="1:10" x14ac:dyDescent="0.2">
      <c r="A36">
        <v>35</v>
      </c>
      <c r="B36" t="s">
        <v>36</v>
      </c>
      <c r="C36">
        <v>7</v>
      </c>
    </row>
    <row r="37" spans="1:10" x14ac:dyDescent="0.2">
      <c r="A37">
        <v>36</v>
      </c>
      <c r="B37" t="s">
        <v>37</v>
      </c>
      <c r="C37">
        <v>5</v>
      </c>
    </row>
    <row r="38" spans="1:10" x14ac:dyDescent="0.2">
      <c r="A38">
        <v>37</v>
      </c>
      <c r="B38" t="s">
        <v>38</v>
      </c>
      <c r="C38">
        <v>6</v>
      </c>
    </row>
    <row r="39" spans="1:10" x14ac:dyDescent="0.2">
      <c r="A39">
        <v>38</v>
      </c>
      <c r="B39" t="s">
        <v>39</v>
      </c>
      <c r="C39">
        <v>4</v>
      </c>
    </row>
    <row r="40" spans="1:10" x14ac:dyDescent="0.2">
      <c r="A40">
        <v>39</v>
      </c>
      <c r="B40" t="s">
        <v>40</v>
      </c>
      <c r="C40">
        <v>6</v>
      </c>
    </row>
    <row r="41" spans="1:10" x14ac:dyDescent="0.2">
      <c r="A41">
        <v>40</v>
      </c>
      <c r="B41" t="s">
        <v>41</v>
      </c>
      <c r="C41">
        <v>4</v>
      </c>
    </row>
    <row r="42" spans="1:10" x14ac:dyDescent="0.2">
      <c r="A42">
        <v>41</v>
      </c>
      <c r="B42" t="s">
        <v>42</v>
      </c>
      <c r="C4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9BA2-F21A-1244-9B5B-232E4F79D1D2}">
  <dimension ref="A1:X63"/>
  <sheetViews>
    <sheetView tabSelected="1" zoomScale="84" zoomScaleNormal="80" workbookViewId="0">
      <selection activeCell="M24" sqref="M24:X24"/>
    </sheetView>
  </sheetViews>
  <sheetFormatPr baseColWidth="10" defaultColWidth="8.83203125" defaultRowHeight="16" x14ac:dyDescent="0.2"/>
  <cols>
    <col min="2" max="2" width="13.5" bestFit="1" customWidth="1"/>
    <col min="3" max="3" width="11.83203125" customWidth="1"/>
    <col min="4" max="4" width="12.83203125" bestFit="1" customWidth="1"/>
    <col min="5" max="5" width="11.83203125" customWidth="1"/>
    <col min="9" max="11" width="10.1640625" bestFit="1" customWidth="1"/>
    <col min="12" max="12" width="9.6640625" bestFit="1" customWidth="1"/>
    <col min="14" max="14" width="10.6640625" customWidth="1"/>
    <col min="15" max="15" width="11" customWidth="1"/>
    <col min="18" max="18" width="11.1640625" customWidth="1"/>
    <col min="21" max="21" width="10" customWidth="1"/>
    <col min="22" max="22" width="13" customWidth="1"/>
    <col min="23" max="23" width="13.1640625" customWidth="1"/>
  </cols>
  <sheetData>
    <row r="1" spans="1:24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24" x14ac:dyDescent="0.2">
      <c r="A2">
        <v>1</v>
      </c>
      <c r="B2" t="s">
        <v>57</v>
      </c>
      <c r="C2" t="s">
        <v>58</v>
      </c>
      <c r="D2" t="str">
        <f>_xlfn.XLOOKUP(C2,[1]EventTypes!A:A,[1]EventTypes!B:B,"")</f>
        <v>Basic</v>
      </c>
      <c r="E2">
        <f>_xlfn.XLOOKUP(C2,[1]EventTypes!A:A,[1]EventTypes!D:D,"")</f>
        <v>70</v>
      </c>
      <c r="F2" t="str">
        <f>_xlfn.XLOOKUP(C2,[1]EventTypes!A:A,[1]EventTypes!C:C,"")</f>
        <v>EB</v>
      </c>
      <c r="G2">
        <f>_xlfn.XLOOKUP(C2,[1]EventTypes!A:A,[1]EventTypes!E:E,"")</f>
        <v>1</v>
      </c>
      <c r="H2">
        <f>_xlfn.XLOOKUP(C2,[1]EventTypes!A:A,[1]EventTypes!F:F,"")</f>
        <v>4</v>
      </c>
      <c r="I2">
        <v>10</v>
      </c>
      <c r="J2" s="2">
        <v>46082</v>
      </c>
      <c r="K2" s="3">
        <v>0.70833333333333337</v>
      </c>
      <c r="L2" s="3">
        <v>0.83333333333333337</v>
      </c>
      <c r="M2" s="24" t="str" cm="1">
        <f t="array" ref="M2:V2">TRANSPOSE('[2]Mars 26 '!$G$3:$G$12)</f>
        <v>Arnar V</v>
      </c>
      <c r="N2" s="25" t="str">
        <v xml:space="preserve">Arnar </v>
      </c>
      <c r="O2" s="25" t="str">
        <v xml:space="preserve">Auður </v>
      </c>
      <c r="P2" s="25" t="str">
        <v xml:space="preserve">Erna </v>
      </c>
      <c r="Q2" s="25" t="str">
        <v>Alda</v>
      </c>
      <c r="R2" s="25" t="str">
        <v xml:space="preserve">Gaukur </v>
      </c>
      <c r="S2" s="25" t="str">
        <v xml:space="preserve">Ömmi </v>
      </c>
      <c r="T2" s="25" t="str">
        <v xml:space="preserve">Jórunn </v>
      </c>
      <c r="U2" s="25" t="str">
        <v xml:space="preserve">Katrín S </v>
      </c>
      <c r="V2" s="25" t="str">
        <v xml:space="preserve">Orri </v>
      </c>
      <c r="W2" s="25"/>
      <c r="X2" s="26"/>
    </row>
    <row r="3" spans="1:24" x14ac:dyDescent="0.2">
      <c r="A3">
        <v>2</v>
      </c>
      <c r="B3" t="s">
        <v>59</v>
      </c>
      <c r="C3" t="s">
        <v>59</v>
      </c>
      <c r="D3" t="str">
        <f>_xlfn.XLOOKUP(C3,[1]EventTypes!A:A,[1]EventTypes!B:B,"")</f>
        <v>Basic</v>
      </c>
      <c r="E3">
        <f>_xlfn.XLOOKUP(C3,[1]EventTypes!A:A,[1]EventTypes!D:D,"")</f>
        <v>50</v>
      </c>
      <c r="F3" t="str">
        <f>_xlfn.XLOOKUP(C3,[1]EventTypes!A:A,[1]EventTypes!C:C,"")</f>
        <v>EB</v>
      </c>
      <c r="G3">
        <v>1</v>
      </c>
      <c r="H3">
        <f>_xlfn.XLOOKUP(C3,[1]EventTypes!A:A,[1]EventTypes!F:F,"")</f>
        <v>3</v>
      </c>
      <c r="I3">
        <v>12</v>
      </c>
      <c r="J3" s="2">
        <v>46086</v>
      </c>
      <c r="K3" s="3">
        <v>0.77083333333333337</v>
      </c>
      <c r="L3" s="3">
        <v>0.89583333333333337</v>
      </c>
      <c r="M3" s="27" t="str" cm="1">
        <f t="array" ref="M3:X3">TRANSPOSE('[2]Mars 26 '!$I$3:$I$14)</f>
        <v xml:space="preserve">Jara </v>
      </c>
      <c r="N3" s="28" t="str">
        <v>Anna S</v>
      </c>
      <c r="O3" s="28" t="str">
        <v>Arnar Ragn</v>
      </c>
      <c r="P3" s="28" t="str">
        <v xml:space="preserve">Auður </v>
      </c>
      <c r="Q3" s="28" t="str">
        <v xml:space="preserve">Elmar </v>
      </c>
      <c r="R3" s="28" t="str">
        <v xml:space="preserve">Gaukur </v>
      </c>
      <c r="S3" s="28" t="str">
        <v>Gréta</v>
      </c>
      <c r="T3" s="28" t="str">
        <v xml:space="preserve">Guðný  </v>
      </c>
      <c r="U3" s="28" t="str">
        <v>Hrafnkell</v>
      </c>
      <c r="V3" s="28" t="str">
        <v xml:space="preserve">Hrannar </v>
      </c>
      <c r="W3" s="28" t="str">
        <v xml:space="preserve">Katrín S </v>
      </c>
      <c r="X3" s="29" t="str">
        <v xml:space="preserve">Hófý </v>
      </c>
    </row>
    <row r="4" spans="1:24" x14ac:dyDescent="0.2">
      <c r="A4">
        <v>3</v>
      </c>
      <c r="B4" t="s">
        <v>60</v>
      </c>
      <c r="C4" t="s">
        <v>61</v>
      </c>
      <c r="D4" t="str">
        <f>_xlfn.XLOOKUP(C4,[1]EventTypes!A:A,[1]EventTypes!B:B,"")</f>
        <v>Basic</v>
      </c>
      <c r="E4">
        <f>_xlfn.XLOOKUP(C4,[1]EventTypes!A:A,[1]EventTypes!D:D,"")</f>
        <v>40</v>
      </c>
      <c r="F4" t="str">
        <f>_xlfn.XLOOKUP(C4,[1]EventTypes!A:A,[1]EventTypes!C:C,"")</f>
        <v>KL</v>
      </c>
      <c r="G4">
        <f>_xlfn.XLOOKUP(C4,[1]EventTypes!A:A,[1]EventTypes!E:E,"")</f>
        <v>0</v>
      </c>
      <c r="H4">
        <f>_xlfn.XLOOKUP(C4,[1]EventTypes!A:A,[1]EventTypes!F:F,"")</f>
        <v>1</v>
      </c>
      <c r="I4">
        <v>1</v>
      </c>
      <c r="J4" s="2">
        <v>46086</v>
      </c>
      <c r="K4" s="3">
        <v>0.79166666666666663</v>
      </c>
      <c r="L4" s="3">
        <v>0.91666666666666663</v>
      </c>
      <c r="M4" s="27" t="str" cm="1">
        <f t="array" ref="M4">TRANSPOSE('[2]Mars 26 '!$E$16)</f>
        <v>Laufey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</row>
    <row r="5" spans="1:24" x14ac:dyDescent="0.2">
      <c r="A5">
        <v>4</v>
      </c>
      <c r="B5" t="s">
        <v>62</v>
      </c>
      <c r="C5" t="s">
        <v>63</v>
      </c>
      <c r="D5" t="str">
        <f>_xlfn.XLOOKUP(C5,[1]EventTypes!A:A,[1]EventTypes!B:B,"")</f>
        <v>Basic</v>
      </c>
      <c r="E5">
        <f>_xlfn.XLOOKUP(C5,[1]EventTypes!A:A,[1]EventTypes!D:D,"")</f>
        <v>80</v>
      </c>
      <c r="F5" t="str">
        <f>_xlfn.XLOOKUP(C5,[1]EventTypes!A:A,[1]EventTypes!C:C,"")</f>
        <v>NL</v>
      </c>
      <c r="G5">
        <v>1</v>
      </c>
      <c r="H5">
        <f>_xlfn.XLOOKUP(C5,[1]EventTypes!A:A,[1]EventTypes!F:F,"")</f>
        <v>0</v>
      </c>
      <c r="I5">
        <v>3</v>
      </c>
      <c r="J5" s="2">
        <v>46087</v>
      </c>
      <c r="K5" s="3">
        <v>0.77083333333333337</v>
      </c>
      <c r="L5" s="3">
        <v>0.89583333333333337</v>
      </c>
      <c r="M5" s="27" t="str" cm="1">
        <f t="array" ref="M5:O5">TRANSPOSE('[2]Mars 26 '!$K$3:$K$5)</f>
        <v xml:space="preserve">Róbert </v>
      </c>
      <c r="N5" s="28" t="str">
        <v xml:space="preserve">Anna S </v>
      </c>
      <c r="O5" s="28" t="str">
        <v xml:space="preserve">Magnús </v>
      </c>
      <c r="P5" s="28"/>
      <c r="Q5" s="28"/>
      <c r="R5" s="28"/>
      <c r="S5" s="28"/>
      <c r="T5" s="28"/>
      <c r="U5" s="28"/>
      <c r="V5" s="28"/>
      <c r="W5" s="28"/>
      <c r="X5" s="29"/>
    </row>
    <row r="6" spans="1:24" x14ac:dyDescent="0.2">
      <c r="A6">
        <v>5</v>
      </c>
      <c r="B6" t="s">
        <v>64</v>
      </c>
      <c r="C6" t="s">
        <v>65</v>
      </c>
      <c r="D6" t="str">
        <f>_xlfn.XLOOKUP(C6,[1]EventTypes!A:A,[1]EventTypes!B:B,"")</f>
        <v>Party</v>
      </c>
      <c r="E6">
        <f>_xlfn.XLOOKUP(C6,[1]EventTypes!A:A,[1]EventTypes!D:D,"")</f>
        <v>50</v>
      </c>
      <c r="F6" t="str">
        <f>_xlfn.XLOOKUP(C6,[1]EventTypes!A:A,[1]EventTypes!C:C,"")</f>
        <v>EB</v>
      </c>
      <c r="G6">
        <f>_xlfn.XLOOKUP(C6,[1]EventTypes!A:A,[1]EventTypes!E:E,"")</f>
        <v>1</v>
      </c>
      <c r="H6">
        <f>_xlfn.XLOOKUP(C6,[1]EventTypes!A:A,[1]EventTypes!F:F,"")</f>
        <v>6</v>
      </c>
      <c r="I6">
        <v>11</v>
      </c>
      <c r="J6" s="2">
        <v>46087</v>
      </c>
      <c r="K6" s="3">
        <v>0.79166666666666663</v>
      </c>
      <c r="L6" s="3">
        <v>0.95833333333333337</v>
      </c>
      <c r="M6" s="27" t="str" cm="1">
        <f t="array" ref="M6:W6">TRANSPOSE('[2]Mars 26 '!$M$3:$M$13)</f>
        <v xml:space="preserve">Þórey </v>
      </c>
      <c r="N6" s="28" t="str">
        <v>Sara J</v>
      </c>
      <c r="O6" s="28" t="str">
        <v xml:space="preserve">Selma </v>
      </c>
      <c r="P6" s="28" t="str">
        <v xml:space="preserve">Sigríður </v>
      </c>
      <c r="Q6" s="28" t="str">
        <v>Sveinn</v>
      </c>
      <c r="R6" s="28" t="str">
        <v xml:space="preserve">Rut </v>
      </c>
      <c r="S6" s="28" t="str">
        <v xml:space="preserve">Veró </v>
      </c>
      <c r="T6" s="28" t="str">
        <v xml:space="preserve">Védís </v>
      </c>
      <c r="U6" s="28" t="str">
        <v xml:space="preserve">Unnar </v>
      </c>
      <c r="V6" s="28" t="str">
        <v>Ömmi</v>
      </c>
      <c r="W6" s="28" t="str">
        <v>Sara B</v>
      </c>
      <c r="X6" s="29"/>
    </row>
    <row r="7" spans="1:24" x14ac:dyDescent="0.2">
      <c r="A7">
        <v>6</v>
      </c>
      <c r="B7" t="s">
        <v>66</v>
      </c>
      <c r="C7" t="s">
        <v>58</v>
      </c>
      <c r="D7" t="str">
        <f>_xlfn.XLOOKUP(C7,[1]EventTypes!A:A,[1]EventTypes!B:B,"")</f>
        <v>Basic</v>
      </c>
      <c r="E7">
        <f>_xlfn.XLOOKUP(C7,[1]EventTypes!A:A,[1]EventTypes!D:D,"")</f>
        <v>70</v>
      </c>
      <c r="F7" t="str">
        <f>_xlfn.XLOOKUP(C7,[1]EventTypes!A:A,[1]EventTypes!C:C,"")</f>
        <v>EB</v>
      </c>
      <c r="G7">
        <f>_xlfn.XLOOKUP(C7,[1]EventTypes!A:A,[1]EventTypes!E:E,"")</f>
        <v>1</v>
      </c>
      <c r="H7">
        <f>_xlfn.XLOOKUP(C7,[1]EventTypes!A:A,[1]EventTypes!F:F,"")</f>
        <v>4</v>
      </c>
      <c r="I7">
        <v>7</v>
      </c>
      <c r="J7" s="2">
        <v>46088</v>
      </c>
      <c r="K7" s="3">
        <v>0.79166666666666663</v>
      </c>
      <c r="L7" s="3">
        <v>0.95833333333333337</v>
      </c>
      <c r="M7" s="27" t="str" cm="1">
        <f t="array" ref="M7:S7">TRANSPOSE('[2]Mars 26 '!$O$3:$O$9)</f>
        <v>Arnar V</v>
      </c>
      <c r="N7" s="28" t="str">
        <v xml:space="preserve">Erna </v>
      </c>
      <c r="O7" s="28" t="str">
        <v xml:space="preserve">Elmar </v>
      </c>
      <c r="P7" s="28" t="str">
        <v xml:space="preserve">Alda </v>
      </c>
      <c r="Q7" s="28" t="str">
        <v xml:space="preserve">Sara J </v>
      </c>
      <c r="R7" s="28" t="str">
        <v xml:space="preserve">Orri </v>
      </c>
      <c r="S7" s="28">
        <v>0</v>
      </c>
      <c r="T7" s="28"/>
      <c r="U7" s="28"/>
      <c r="V7" s="28"/>
      <c r="W7" s="28"/>
      <c r="X7" s="29"/>
    </row>
    <row r="8" spans="1:24" x14ac:dyDescent="0.2">
      <c r="A8">
        <v>7</v>
      </c>
      <c r="B8" t="s">
        <v>66</v>
      </c>
      <c r="C8" t="s">
        <v>67</v>
      </c>
      <c r="D8" t="str">
        <f>_xlfn.XLOOKUP(C8,[1]EventTypes!A:A,[1]EventTypes!B:B,"")</f>
        <v>Fatahengi</v>
      </c>
      <c r="E8">
        <f>_xlfn.XLOOKUP(C8,[1]EventTypes!A:A,[1]EventTypes!D:D,"")</f>
        <v>100</v>
      </c>
      <c r="F8" t="str">
        <f>_xlfn.XLOOKUP(C8,[1]EventTypes!A:A,[1]EventTypes!C:C,"")</f>
        <v>Fatahengi</v>
      </c>
      <c r="G8">
        <f>_xlfn.XLOOKUP(C8,[1]EventTypes!A:A,[1]EventTypes!E:E,"")</f>
        <v>0</v>
      </c>
      <c r="H8">
        <f>_xlfn.XLOOKUP(C8,[1]EventTypes!A:A,[1]EventTypes!F:F,"")</f>
        <v>0</v>
      </c>
      <c r="I8">
        <v>10</v>
      </c>
      <c r="J8" s="2">
        <v>46088</v>
      </c>
      <c r="K8" s="3">
        <v>0.52083333333333337</v>
      </c>
      <c r="L8" s="3">
        <v>0.75</v>
      </c>
      <c r="M8" s="27" t="str" cm="1">
        <f t="array" ref="M8:V8">TRANSPOSE('[2]Mars 26 '!$Q$3:$Q$12)</f>
        <v xml:space="preserve">Anna S </v>
      </c>
      <c r="N8" s="28" t="str">
        <v xml:space="preserve">Katrín S </v>
      </c>
      <c r="O8" s="28" t="str">
        <v xml:space="preserve">Jórunn </v>
      </c>
      <c r="P8" s="28" t="str">
        <v xml:space="preserve">Rut </v>
      </c>
      <c r="Q8" s="28" t="str">
        <v xml:space="preserve">Katrín B </v>
      </c>
      <c r="R8" s="28" t="str">
        <v>Arnar G</v>
      </c>
      <c r="S8" s="28" t="str">
        <v xml:space="preserve">Gaukur </v>
      </c>
      <c r="T8" s="28" t="str">
        <v xml:space="preserve">Ömmi </v>
      </c>
      <c r="U8" s="28" t="str">
        <v xml:space="preserve">Magnús </v>
      </c>
      <c r="V8" s="28" t="str">
        <v>Sveinn</v>
      </c>
      <c r="W8" s="28"/>
      <c r="X8" s="29"/>
    </row>
    <row r="9" spans="1:24" x14ac:dyDescent="0.2">
      <c r="A9">
        <v>8</v>
      </c>
      <c r="B9" t="s">
        <v>68</v>
      </c>
      <c r="C9" t="s">
        <v>58</v>
      </c>
      <c r="D9" t="str">
        <f>_xlfn.XLOOKUP(C9,[1]EventTypes!A:A,[1]EventTypes!B:B,"")</f>
        <v>Basic</v>
      </c>
      <c r="E9">
        <f>_xlfn.XLOOKUP(C9,[1]EventTypes!A:A,[1]EventTypes!D:D,"")</f>
        <v>70</v>
      </c>
      <c r="F9" t="str">
        <f>_xlfn.XLOOKUP(C9,[1]EventTypes!A:A,[1]EventTypes!C:C,"")</f>
        <v>EB</v>
      </c>
      <c r="G9">
        <f>_xlfn.XLOOKUP(C9,[1]EventTypes!A:A,[1]EventTypes!E:E,"")</f>
        <v>1</v>
      </c>
      <c r="H9">
        <f>_xlfn.XLOOKUP(C9,[1]EventTypes!A:A,[1]EventTypes!F:F,"")</f>
        <v>4</v>
      </c>
      <c r="I9">
        <f>_xlfn.XLOOKUP(C9,[1]EventTypes!A:A,[1]EventTypes!G:G,"")</f>
        <v>11</v>
      </c>
      <c r="J9" s="2">
        <v>46090</v>
      </c>
      <c r="K9" s="3">
        <v>0.79166666666666663</v>
      </c>
      <c r="L9" s="3">
        <v>0.91666666666666663</v>
      </c>
      <c r="M9" s="27" t="str" cm="1">
        <f t="array" ref="M9:W9">TRANSPOSE('[2]Mars 26 '!$S$3:$S$13)</f>
        <v xml:space="preserve">Róbert </v>
      </c>
      <c r="N9" s="28" t="str">
        <v xml:space="preserve">Unnar </v>
      </c>
      <c r="O9" s="28" t="str">
        <v xml:space="preserve">Valdís </v>
      </c>
      <c r="P9" s="28" t="str">
        <v xml:space="preserve">Védís </v>
      </c>
      <c r="Q9" s="28" t="str">
        <v xml:space="preserve">Guðný </v>
      </c>
      <c r="R9" s="28" t="str">
        <v xml:space="preserve">Anna S </v>
      </c>
      <c r="S9" s="28" t="str">
        <v xml:space="preserve">Þórey </v>
      </c>
      <c r="T9" s="28" t="str">
        <v xml:space="preserve">Ömmi </v>
      </c>
      <c r="U9" s="28" t="str">
        <v xml:space="preserve">Sigríður </v>
      </c>
      <c r="V9" s="28" t="str">
        <v xml:space="preserve">Laufey </v>
      </c>
      <c r="W9" s="28" t="str">
        <v xml:space="preserve">Orri </v>
      </c>
      <c r="X9" s="29"/>
    </row>
    <row r="10" spans="1:24" x14ac:dyDescent="0.2">
      <c r="A10">
        <v>9</v>
      </c>
      <c r="B10" t="s">
        <v>59</v>
      </c>
      <c r="C10" t="s">
        <v>59</v>
      </c>
      <c r="D10" t="str">
        <f>_xlfn.XLOOKUP(C10,[1]EventTypes!A:A,[1]EventTypes!B:B,"")</f>
        <v>Basic</v>
      </c>
      <c r="E10">
        <f>_xlfn.XLOOKUP(C10,[1]EventTypes!A:A,[1]EventTypes!D:D,"")</f>
        <v>50</v>
      </c>
      <c r="F10" t="str">
        <f>_xlfn.XLOOKUP(C10,[1]EventTypes!A:A,[1]EventTypes!C:C,"")</f>
        <v>EB</v>
      </c>
      <c r="G10">
        <f>_xlfn.XLOOKUP(C10,[1]EventTypes!A:A,[1]EventTypes!E:E,"")</f>
        <v>1</v>
      </c>
      <c r="H10">
        <f>_xlfn.XLOOKUP(C10,[1]EventTypes!A:A,[1]EventTypes!F:F,"")</f>
        <v>3</v>
      </c>
      <c r="I10">
        <v>11</v>
      </c>
      <c r="J10" s="2">
        <v>46093</v>
      </c>
      <c r="K10" s="3">
        <v>0.77083333333333337</v>
      </c>
      <c r="L10" s="3">
        <v>0.89583333333333337</v>
      </c>
      <c r="M10" s="27" t="str" cm="1">
        <f t="array" ref="M10:W10">TRANSPOSE('[2]Mars 26 '!$U$3:$U$13)</f>
        <v xml:space="preserve">Jara </v>
      </c>
      <c r="N10" s="28" t="str">
        <v xml:space="preserve">Valdís </v>
      </c>
      <c r="O10" s="28" t="str">
        <v xml:space="preserve">Rut </v>
      </c>
      <c r="P10" s="28" t="str">
        <v>Sara B</v>
      </c>
      <c r="Q10" s="28" t="str">
        <v>Sara J</v>
      </c>
      <c r="R10" s="28" t="str">
        <v xml:space="preserve">Sigríður </v>
      </c>
      <c r="S10" s="28" t="str">
        <v>Sveinn</v>
      </c>
      <c r="T10" s="28" t="str">
        <v xml:space="preserve">Laufey </v>
      </c>
      <c r="U10" s="28" t="str">
        <v xml:space="preserve">Arnar G </v>
      </c>
      <c r="V10" s="28" t="str">
        <v>Hrafnkell</v>
      </c>
      <c r="W10" s="28" t="str">
        <v xml:space="preserve">Hrannar </v>
      </c>
      <c r="X10" s="29"/>
    </row>
    <row r="11" spans="1:24" x14ac:dyDescent="0.2">
      <c r="A11">
        <v>10</v>
      </c>
      <c r="B11" t="s">
        <v>59</v>
      </c>
      <c r="C11" t="s">
        <v>59</v>
      </c>
      <c r="D11" t="str">
        <f>_xlfn.XLOOKUP(C11,[1]EventTypes!A:A,[1]EventTypes!B:B,"")</f>
        <v>Basic</v>
      </c>
      <c r="E11">
        <f>_xlfn.XLOOKUP(C11,[1]EventTypes!A:A,[1]EventTypes!D:D,"")</f>
        <v>50</v>
      </c>
      <c r="F11" t="str">
        <f>_xlfn.XLOOKUP(C11,[1]EventTypes!A:A,[1]EventTypes!C:C,"")</f>
        <v>EB</v>
      </c>
      <c r="G11">
        <f>_xlfn.XLOOKUP(C11,[1]EventTypes!A:A,[1]EventTypes!E:E,"")</f>
        <v>1</v>
      </c>
      <c r="H11">
        <f>_xlfn.XLOOKUP(C11,[1]EventTypes!A:A,[1]EventTypes!F:F,"")</f>
        <v>3</v>
      </c>
      <c r="I11">
        <v>7</v>
      </c>
      <c r="J11" s="2">
        <v>46094</v>
      </c>
      <c r="K11" s="3">
        <v>0.70833333333333337</v>
      </c>
      <c r="L11" s="3">
        <v>0.83333333333333337</v>
      </c>
      <c r="M11" s="27" t="str" cm="1">
        <f t="array" ref="M11:S11">TRANSPOSE('[2]Mars 26 '!$G$19:$G$25)</f>
        <v xml:space="preserve">Róbert </v>
      </c>
      <c r="N11" s="28" t="str">
        <v xml:space="preserve">Veró </v>
      </c>
      <c r="O11" s="28" t="str">
        <v xml:space="preserve">Orri </v>
      </c>
      <c r="P11" s="28" t="str">
        <v xml:space="preserve">Magnús </v>
      </c>
      <c r="Q11" s="28" t="str">
        <v>Katrín S</v>
      </c>
      <c r="R11" s="28" t="str">
        <v>Jórunn</v>
      </c>
      <c r="S11" s="28" t="str">
        <v xml:space="preserve">Hófý </v>
      </c>
      <c r="T11" s="28"/>
      <c r="U11" s="28"/>
      <c r="V11" s="28"/>
      <c r="W11" s="28"/>
      <c r="X11" s="29"/>
    </row>
    <row r="12" spans="1:24" x14ac:dyDescent="0.2">
      <c r="A12">
        <v>11</v>
      </c>
      <c r="B12" t="s">
        <v>69</v>
      </c>
      <c r="C12" t="s">
        <v>63</v>
      </c>
      <c r="D12" t="str">
        <f>_xlfn.XLOOKUP(C12,[1]EventTypes!A:A,[1]EventTypes!B:B,"")</f>
        <v>Basic</v>
      </c>
      <c r="E12">
        <f>_xlfn.XLOOKUP(C12,[1]EventTypes!A:A,[1]EventTypes!D:D,"")</f>
        <v>80</v>
      </c>
      <c r="F12" t="str">
        <f>_xlfn.XLOOKUP(C12,[1]EventTypes!A:A,[1]EventTypes!C:C,"")</f>
        <v>NL</v>
      </c>
      <c r="G12">
        <v>0</v>
      </c>
      <c r="H12">
        <f>_xlfn.XLOOKUP(C12,[1]EventTypes!A:A,[1]EventTypes!F:F,"")</f>
        <v>0</v>
      </c>
      <c r="I12">
        <v>2</v>
      </c>
      <c r="J12" s="2">
        <v>46094</v>
      </c>
      <c r="K12" s="3">
        <v>0.75</v>
      </c>
      <c r="L12" s="3">
        <v>0.91666666666666663</v>
      </c>
      <c r="M12" s="27" t="str" cm="1">
        <f t="array" ref="M12:N12">TRANSPOSE('[2]Mars 26 '!$G$29:$G$30)</f>
        <v xml:space="preserve">Ömmi </v>
      </c>
      <c r="N12" s="28" t="str">
        <v xml:space="preserve">Jara </v>
      </c>
      <c r="O12" s="28"/>
      <c r="P12" s="28"/>
      <c r="Q12" s="28"/>
      <c r="R12" s="28"/>
      <c r="S12" s="28"/>
      <c r="T12" s="28"/>
      <c r="U12" s="28"/>
      <c r="V12" s="28"/>
      <c r="W12" s="28"/>
      <c r="X12" s="29"/>
    </row>
    <row r="13" spans="1:24" x14ac:dyDescent="0.2">
      <c r="A13">
        <v>12</v>
      </c>
      <c r="B13" t="s">
        <v>70</v>
      </c>
      <c r="C13" t="s">
        <v>65</v>
      </c>
      <c r="D13" t="str">
        <f>_xlfn.XLOOKUP(C13,[1]EventTypes!A:A,[1]EventTypes!B:B,"")</f>
        <v>Party</v>
      </c>
      <c r="E13">
        <f>_xlfn.XLOOKUP(C13,[1]EventTypes!A:A,[1]EventTypes!D:D,"")</f>
        <v>50</v>
      </c>
      <c r="F13" t="str">
        <f>_xlfn.XLOOKUP(C13,[1]EventTypes!A:A,[1]EventTypes!C:C,"")</f>
        <v>EB</v>
      </c>
      <c r="G13">
        <f>_xlfn.XLOOKUP(C13,[1]EventTypes!A:A,[1]EventTypes!E:E,"")</f>
        <v>1</v>
      </c>
      <c r="H13">
        <f>_xlfn.XLOOKUP(C13,[1]EventTypes!A:A,[1]EventTypes!F:F,"")</f>
        <v>6</v>
      </c>
      <c r="I13">
        <v>12</v>
      </c>
      <c r="J13" s="2">
        <v>46095</v>
      </c>
      <c r="K13" s="3">
        <v>0.75</v>
      </c>
      <c r="L13" s="3">
        <v>0.91666666666666663</v>
      </c>
      <c r="M13" s="27" t="str" cm="1">
        <f t="array" ref="M13:X13">TRANSPOSE('[2]Mars 26 '!$I$19:$I$30)</f>
        <v xml:space="preserve">Þórey </v>
      </c>
      <c r="N13" s="28" t="str">
        <v xml:space="preserve">Védís </v>
      </c>
      <c r="O13" s="28" t="str">
        <v xml:space="preserve">Jara </v>
      </c>
      <c r="P13" s="28" t="str">
        <v xml:space="preserve">Gaukur </v>
      </c>
      <c r="Q13" s="28" t="str">
        <v xml:space="preserve">Hrannar </v>
      </c>
      <c r="R13" s="28" t="str">
        <v xml:space="preserve">Hrafnkell </v>
      </c>
      <c r="S13" s="28" t="str">
        <v xml:space="preserve">Auður </v>
      </c>
      <c r="T13" s="28" t="str">
        <v xml:space="preserve">Hófý </v>
      </c>
      <c r="U13" s="28" t="str">
        <v xml:space="preserve">Sigríður </v>
      </c>
      <c r="V13" s="28" t="str">
        <v xml:space="preserve">Unnar </v>
      </c>
      <c r="W13" s="28" t="str">
        <v>Róbert</v>
      </c>
      <c r="X13" s="29" t="str">
        <v>Sveinn</v>
      </c>
    </row>
    <row r="14" spans="1:24" x14ac:dyDescent="0.2">
      <c r="A14">
        <v>13</v>
      </c>
      <c r="B14" t="s">
        <v>71</v>
      </c>
      <c r="C14" t="s">
        <v>69</v>
      </c>
      <c r="D14" t="str">
        <f>_xlfn.XLOOKUP(C14,[1]EventTypes!A:A,[1]EventTypes!B:B,"")</f>
        <v>Basic</v>
      </c>
      <c r="E14">
        <f>_xlfn.XLOOKUP(C14,[1]EventTypes!A:A,[1]EventTypes!D:D,"")</f>
        <v>80</v>
      </c>
      <c r="F14" t="str">
        <f>_xlfn.XLOOKUP(C14,[1]EventTypes!A:A,[1]EventTypes!C:C,"")</f>
        <v>SB</v>
      </c>
      <c r="G14">
        <v>0</v>
      </c>
      <c r="H14">
        <f>_xlfn.XLOOKUP(C14,[1]EventTypes!A:A,[1]EventTypes!F:F,"")</f>
        <v>1</v>
      </c>
      <c r="I14">
        <v>2</v>
      </c>
      <c r="J14" s="2">
        <v>46099</v>
      </c>
      <c r="K14" s="3">
        <v>0.75</v>
      </c>
      <c r="L14" s="3">
        <v>0.91666666666666663</v>
      </c>
      <c r="M14" s="27" t="str" cm="1">
        <f t="array" ref="M14:N14">TRANSPOSE('[2]Mars 26 '!$K$19:$K$20)</f>
        <v xml:space="preserve">Selma </v>
      </c>
      <c r="N14" s="28" t="str">
        <v xml:space="preserve">Alda </v>
      </c>
      <c r="O14" s="28"/>
      <c r="P14" s="28"/>
      <c r="Q14" s="28"/>
      <c r="R14" s="28"/>
      <c r="S14" s="28"/>
      <c r="T14" s="28"/>
      <c r="U14" s="28"/>
      <c r="V14" s="28"/>
      <c r="W14" s="28"/>
      <c r="X14" s="29"/>
    </row>
    <row r="15" spans="1:24" x14ac:dyDescent="0.2">
      <c r="A15">
        <v>14</v>
      </c>
      <c r="B15" t="s">
        <v>72</v>
      </c>
      <c r="C15" t="s">
        <v>58</v>
      </c>
      <c r="D15" t="str">
        <f>_xlfn.XLOOKUP(C15,[1]EventTypes!A:A,[1]EventTypes!B:B,"")</f>
        <v>Basic</v>
      </c>
      <c r="E15">
        <f>_xlfn.XLOOKUP(C15,[1]EventTypes!A:A,[1]EventTypes!D:D,"")</f>
        <v>70</v>
      </c>
      <c r="F15" t="str">
        <f>_xlfn.XLOOKUP(C15,[1]EventTypes!A:A,[1]EventTypes!C:C,"")</f>
        <v>EB</v>
      </c>
      <c r="G15">
        <f>_xlfn.XLOOKUP(C15,[1]EventTypes!A:A,[1]EventTypes!E:E,"")</f>
        <v>1</v>
      </c>
      <c r="H15">
        <f>_xlfn.XLOOKUP(C15,[1]EventTypes!A:A,[1]EventTypes!F:F,"")</f>
        <v>4</v>
      </c>
      <c r="I15">
        <v>7</v>
      </c>
      <c r="J15" s="2">
        <v>46100</v>
      </c>
      <c r="K15" s="3">
        <v>0.79166666666666663</v>
      </c>
      <c r="L15" s="3">
        <v>0.91666666666666663</v>
      </c>
      <c r="M15" s="27" t="str" cm="1">
        <f t="array" ref="M15:S15">TRANSPOSE('[2]Mars 26 '!$M$19:$M$25)</f>
        <v xml:space="preserve">Jara </v>
      </c>
      <c r="N15" s="28" t="str">
        <v>Guðný</v>
      </c>
      <c r="O15" s="28" t="str">
        <v xml:space="preserve">Magnús </v>
      </c>
      <c r="P15" s="28" t="str">
        <v>Orri</v>
      </c>
      <c r="Q15" s="28" t="str">
        <v xml:space="preserve">Rut </v>
      </c>
      <c r="R15" s="28" t="str">
        <v xml:space="preserve">Sara B </v>
      </c>
      <c r="S15" s="28" t="str">
        <v>Sara J</v>
      </c>
      <c r="T15" s="28"/>
      <c r="U15" s="28"/>
      <c r="V15" s="28"/>
      <c r="W15" s="28"/>
      <c r="X15" s="29"/>
    </row>
    <row r="16" spans="1:24" x14ac:dyDescent="0.2">
      <c r="A16">
        <v>15</v>
      </c>
      <c r="B16" t="s">
        <v>72</v>
      </c>
      <c r="C16" t="s">
        <v>65</v>
      </c>
      <c r="D16" t="str">
        <f>_xlfn.XLOOKUP(C16,[1]EventTypes!A:A,[1]EventTypes!B:B,"")</f>
        <v>Party</v>
      </c>
      <c r="E16">
        <f>_xlfn.XLOOKUP(C16,[1]EventTypes!A:A,[1]EventTypes!D:D,"")</f>
        <v>50</v>
      </c>
      <c r="F16" t="str">
        <f>_xlfn.XLOOKUP(C16,[1]EventTypes!A:A,[1]EventTypes!C:C,"")</f>
        <v>EB</v>
      </c>
      <c r="G16">
        <f>_xlfn.XLOOKUP(C16,[1]EventTypes!A:A,[1]EventTypes!E:E,"")</f>
        <v>1</v>
      </c>
      <c r="H16">
        <f>_xlfn.XLOOKUP(C16,[1]EventTypes!A:A,[1]EventTypes!F:F,"")</f>
        <v>6</v>
      </c>
      <c r="I16">
        <v>12</v>
      </c>
      <c r="J16" s="2">
        <v>46101</v>
      </c>
      <c r="K16" s="3">
        <v>0.79166666666666663</v>
      </c>
      <c r="L16" s="3">
        <v>0.95833333333333337</v>
      </c>
      <c r="M16" s="27" t="str" cm="1">
        <f t="array" ref="M16:X16">TRANSPOSE('[2]Mars 26 '!$O$19:$O$30)</f>
        <v>Arnar V</v>
      </c>
      <c r="N16" s="28" t="str">
        <v xml:space="preserve">Erna </v>
      </c>
      <c r="O16" s="28" t="str">
        <v xml:space="preserve">Veró </v>
      </c>
      <c r="P16" s="28" t="str">
        <v xml:space="preserve">Laufey </v>
      </c>
      <c r="Q16" s="28" t="str">
        <v xml:space="preserve">Védís </v>
      </c>
      <c r="R16" s="28" t="str">
        <v>Sveinn</v>
      </c>
      <c r="S16" s="28" t="str">
        <v xml:space="preserve">Hrannar </v>
      </c>
      <c r="T16" s="28" t="str">
        <v>Hrafnkell</v>
      </c>
      <c r="U16" s="28" t="str">
        <v xml:space="preserve">Sigríður </v>
      </c>
      <c r="V16" s="28" t="str">
        <v xml:space="preserve">Selma </v>
      </c>
      <c r="W16" s="28" t="str">
        <v>Jórunn</v>
      </c>
      <c r="X16" s="29" t="str">
        <v xml:space="preserve">Elmar </v>
      </c>
    </row>
    <row r="17" spans="1:24" x14ac:dyDescent="0.2">
      <c r="A17">
        <v>16</v>
      </c>
      <c r="B17" t="s">
        <v>73</v>
      </c>
      <c r="C17" t="s">
        <v>63</v>
      </c>
      <c r="D17" t="str">
        <f>_xlfn.XLOOKUP(C17,[1]EventTypes!A:A,[1]EventTypes!B:B,"")</f>
        <v>Basic</v>
      </c>
      <c r="E17">
        <f>_xlfn.XLOOKUP(C17,[1]EventTypes!A:A,[1]EventTypes!D:D,"")</f>
        <v>80</v>
      </c>
      <c r="F17" t="str">
        <f>_xlfn.XLOOKUP(C17,[1]EventTypes!A:A,[1]EventTypes!C:C,"")</f>
        <v>NL</v>
      </c>
      <c r="G17">
        <v>0</v>
      </c>
      <c r="H17">
        <f>_xlfn.XLOOKUP(C17,[1]EventTypes!A:A,[1]EventTypes!F:F,"")</f>
        <v>0</v>
      </c>
      <c r="I17">
        <v>1</v>
      </c>
      <c r="J17" s="2">
        <v>46101</v>
      </c>
      <c r="K17" s="3">
        <v>0.77083333333333337</v>
      </c>
      <c r="L17" s="3">
        <v>0.91666666666666663</v>
      </c>
      <c r="M17" s="27" t="str">
        <f>'[2]Mars 26 '!$Q$19</f>
        <v xml:space="preserve">Katrín H 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</row>
    <row r="18" spans="1:24" x14ac:dyDescent="0.2">
      <c r="A18">
        <v>17</v>
      </c>
      <c r="B18" t="s">
        <v>73</v>
      </c>
      <c r="C18" t="s">
        <v>63</v>
      </c>
      <c r="D18" t="str">
        <f>_xlfn.XLOOKUP(C18,[1]EventTypes!A:A,[1]EventTypes!B:B,"")</f>
        <v>Basic</v>
      </c>
      <c r="E18">
        <f>_xlfn.XLOOKUP(C18,[1]EventTypes!A:A,[1]EventTypes!D:D,"")</f>
        <v>80</v>
      </c>
      <c r="F18" t="str">
        <f>_xlfn.XLOOKUP(C18,[1]EventTypes!A:A,[1]EventTypes!C:C,"")</f>
        <v>NL</v>
      </c>
      <c r="G18">
        <v>0</v>
      </c>
      <c r="H18">
        <f>_xlfn.XLOOKUP(C18,[1]EventTypes!A:A,[1]EventTypes!F:F,"")</f>
        <v>0</v>
      </c>
      <c r="I18">
        <v>1</v>
      </c>
      <c r="J18" s="2">
        <v>46102</v>
      </c>
      <c r="K18" s="3">
        <v>0.77083333333333337</v>
      </c>
      <c r="L18" s="3">
        <v>0.89583333333333337</v>
      </c>
      <c r="M18" s="27" t="str">
        <f>'[2]Mars 26 '!$Q$22</f>
        <v xml:space="preserve">Gréta 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</row>
    <row r="19" spans="1:24" x14ac:dyDescent="0.2">
      <c r="A19">
        <v>18</v>
      </c>
      <c r="B19" t="s">
        <v>73</v>
      </c>
      <c r="C19" t="s">
        <v>63</v>
      </c>
      <c r="D19" t="str">
        <f>_xlfn.XLOOKUP(C19,[1]EventTypes!A:A,[1]EventTypes!B:B,"")</f>
        <v>Basic</v>
      </c>
      <c r="E19">
        <f>_xlfn.XLOOKUP(C19,[1]EventTypes!A:A,[1]EventTypes!D:D,"")</f>
        <v>80</v>
      </c>
      <c r="F19" t="str">
        <f>_xlfn.XLOOKUP(C19,[1]EventTypes!A:A,[1]EventTypes!C:C,"")</f>
        <v>NL</v>
      </c>
      <c r="G19">
        <v>0</v>
      </c>
      <c r="H19">
        <f>_xlfn.XLOOKUP(C19,[1]EventTypes!A:A,[1]EventTypes!F:F,"")</f>
        <v>0</v>
      </c>
      <c r="I19">
        <v>2</v>
      </c>
      <c r="J19" s="2">
        <v>46103</v>
      </c>
      <c r="K19" s="3">
        <v>0.77083333333333337</v>
      </c>
      <c r="L19" s="3">
        <v>0.89583333333333337</v>
      </c>
      <c r="M19" s="27" t="str" cm="1">
        <f t="array" ref="M19:N19">TRANSPOSE('[2]Mars 26 '!$Q$25:$Q$26)</f>
        <v xml:space="preserve">Védís </v>
      </c>
      <c r="N19" s="28" t="str">
        <v xml:space="preserve">Sigríður </v>
      </c>
      <c r="O19" s="28"/>
      <c r="P19" s="28"/>
      <c r="Q19" s="28"/>
      <c r="R19" s="28"/>
      <c r="S19" s="28"/>
      <c r="T19" s="28"/>
      <c r="U19" s="28"/>
      <c r="V19" s="28"/>
      <c r="W19" s="28"/>
      <c r="X19" s="29"/>
    </row>
    <row r="20" spans="1:24" x14ac:dyDescent="0.2">
      <c r="A20">
        <v>19</v>
      </c>
      <c r="B20" t="s">
        <v>73</v>
      </c>
      <c r="C20" t="s">
        <v>63</v>
      </c>
      <c r="D20" t="str">
        <f>_xlfn.XLOOKUP(C20,[1]EventTypes!A:A,[1]EventTypes!B:B,"")</f>
        <v>Basic</v>
      </c>
      <c r="E20">
        <f>_xlfn.XLOOKUP(C20,[1]EventTypes!A:A,[1]EventTypes!D:D,"")</f>
        <v>80</v>
      </c>
      <c r="F20" t="str">
        <f>_xlfn.XLOOKUP(C20,[1]EventTypes!A:A,[1]EventTypes!C:C,"")</f>
        <v>NL</v>
      </c>
      <c r="G20">
        <v>0</v>
      </c>
      <c r="H20">
        <f>_xlfn.XLOOKUP(C20,[1]EventTypes!A:A,[1]EventTypes!F:F,"")</f>
        <v>0</v>
      </c>
      <c r="I20">
        <v>1</v>
      </c>
      <c r="J20" s="2">
        <v>46104</v>
      </c>
      <c r="K20" s="3">
        <v>0.77083333333333337</v>
      </c>
      <c r="L20" s="3">
        <v>0.89583333333333337</v>
      </c>
      <c r="M20" s="27" t="str">
        <f>'[2]Mars 26 '!$Q$30</f>
        <v xml:space="preserve">Sigríður 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spans="1:24" x14ac:dyDescent="0.2">
      <c r="A21">
        <v>20</v>
      </c>
      <c r="B21" t="s">
        <v>73</v>
      </c>
      <c r="C21" t="s">
        <v>63</v>
      </c>
      <c r="D21" t="str">
        <f>_xlfn.XLOOKUP(C21,[1]EventTypes!A:A,[1]EventTypes!B:B,"")</f>
        <v>Basic</v>
      </c>
      <c r="E21">
        <f>_xlfn.XLOOKUP(C21,[1]EventTypes!A:A,[1]EventTypes!D:D,"")</f>
        <v>80</v>
      </c>
      <c r="F21" t="str">
        <f>_xlfn.XLOOKUP(C21,[1]EventTypes!A:A,[1]EventTypes!C:C,"")</f>
        <v>NL</v>
      </c>
      <c r="G21">
        <v>1</v>
      </c>
      <c r="H21">
        <f>_xlfn.XLOOKUP(C21,[1]EventTypes!A:A,[1]EventTypes!F:F,"")</f>
        <v>0</v>
      </c>
      <c r="I21">
        <v>2</v>
      </c>
      <c r="J21" s="2">
        <v>46109</v>
      </c>
      <c r="K21" s="3">
        <v>0.66666666666666663</v>
      </c>
      <c r="L21" s="3">
        <v>0.91666666666666663</v>
      </c>
      <c r="M21" s="27" t="str" cm="1">
        <f t="array" ref="M21:N21">TRANSPOSE('[2]Mars 26 '!$Q$33:$Q$34)</f>
        <v>Arnar V</v>
      </c>
      <c r="N21" s="28" t="str">
        <v xml:space="preserve">Unnar </v>
      </c>
      <c r="O21" s="28"/>
      <c r="P21" s="28"/>
      <c r="Q21" s="28"/>
      <c r="R21" s="28"/>
      <c r="S21" s="28"/>
      <c r="T21" s="28"/>
      <c r="U21" s="28"/>
      <c r="V21" s="28"/>
      <c r="W21" s="28"/>
      <c r="X21" s="29"/>
    </row>
    <row r="22" spans="1:24" x14ac:dyDescent="0.2">
      <c r="A22">
        <v>21</v>
      </c>
      <c r="B22" t="s">
        <v>74</v>
      </c>
      <c r="C22" t="s">
        <v>65</v>
      </c>
      <c r="D22" t="str">
        <f>_xlfn.XLOOKUP(C22,[1]EventTypes!A:A,[1]EventTypes!B:B,"")</f>
        <v>Party</v>
      </c>
      <c r="E22">
        <f>_xlfn.XLOOKUP(C22,[1]EventTypes!A:A,[1]EventTypes!D:D,"")</f>
        <v>50</v>
      </c>
      <c r="F22" t="str">
        <f>_xlfn.XLOOKUP(C22,[1]EventTypes!A:A,[1]EventTypes!C:C,"")</f>
        <v>EB</v>
      </c>
      <c r="G22">
        <v>1</v>
      </c>
      <c r="H22">
        <f>_xlfn.XLOOKUP(C22,[1]EventTypes!A:A,[1]EventTypes!F:F,"")</f>
        <v>6</v>
      </c>
      <c r="I22">
        <v>12</v>
      </c>
      <c r="J22" s="2">
        <v>46102</v>
      </c>
      <c r="K22" s="3">
        <v>0.83333333333333337</v>
      </c>
      <c r="L22" s="4">
        <v>0</v>
      </c>
      <c r="M22" s="27" t="str" cm="1">
        <f t="array" ref="M22:X22">TRANSPOSE('[2]Mars 26 '!$S$19:$S$30)</f>
        <v>Arnar  V</v>
      </c>
      <c r="N22" s="28" t="str">
        <v xml:space="preserve">Orri </v>
      </c>
      <c r="O22" s="28" t="str">
        <v xml:space="preserve">Magnús </v>
      </c>
      <c r="P22" s="28" t="str">
        <v xml:space="preserve">Ömmi </v>
      </c>
      <c r="Q22" s="28" t="str">
        <v xml:space="preserve">Selma </v>
      </c>
      <c r="R22" s="28" t="str">
        <v xml:space="preserve">Arnar G </v>
      </c>
      <c r="S22" s="28" t="str">
        <v xml:space="preserve">Rut </v>
      </c>
      <c r="T22" s="28" t="str">
        <v>Sara B</v>
      </c>
      <c r="U22" s="28" t="str">
        <v xml:space="preserve">Unnar </v>
      </c>
      <c r="V22" s="28" t="str">
        <v xml:space="preserve">Hrannar </v>
      </c>
      <c r="W22" s="28" t="str">
        <v>Hrafnkell</v>
      </c>
      <c r="X22" s="29" t="str">
        <v>Elmar</v>
      </c>
    </row>
    <row r="23" spans="1:24" x14ac:dyDescent="0.2">
      <c r="A23">
        <v>22</v>
      </c>
      <c r="B23" t="s">
        <v>75</v>
      </c>
      <c r="C23" t="s">
        <v>65</v>
      </c>
      <c r="D23" t="str">
        <f>_xlfn.XLOOKUP(C23,[1]EventTypes!A:A,[1]EventTypes!B:B,"")</f>
        <v>Party</v>
      </c>
      <c r="E23">
        <f>_xlfn.XLOOKUP(C23,[1]EventTypes!A:A,[1]EventTypes!D:D,"")</f>
        <v>50</v>
      </c>
      <c r="F23" t="str">
        <f>_xlfn.XLOOKUP(C23,[1]EventTypes!A:A,[1]EventTypes!C:C,"")</f>
        <v>EB</v>
      </c>
      <c r="G23">
        <v>1</v>
      </c>
      <c r="H23">
        <f>_xlfn.XLOOKUP(C23,[1]EventTypes!A:A,[1]EventTypes!F:F,"")</f>
        <v>6</v>
      </c>
      <c r="I23">
        <v>12</v>
      </c>
      <c r="J23" s="2">
        <v>46108</v>
      </c>
      <c r="K23" s="3">
        <v>0.79166666666666663</v>
      </c>
      <c r="L23" s="3">
        <v>0.91666666666666663</v>
      </c>
      <c r="M23" s="27" t="str" cm="1">
        <f t="array" ref="M23:X23">TRANSPOSE('[2]Mars 26 '!$U$19:$U$30)</f>
        <v xml:space="preserve">Þórey </v>
      </c>
      <c r="N23" s="28" t="str">
        <v>Alda</v>
      </c>
      <c r="O23" s="28" t="str">
        <v>Anna S</v>
      </c>
      <c r="P23" s="28" t="str">
        <v>Arnar R</v>
      </c>
      <c r="Q23" s="28" t="str">
        <v xml:space="preserve">Auður </v>
      </c>
      <c r="R23" s="28" t="str">
        <v xml:space="preserve">Elísabet </v>
      </c>
      <c r="S23" s="28" t="str">
        <v xml:space="preserve">Elmar </v>
      </c>
      <c r="T23" s="28" t="str">
        <v xml:space="preserve">Erna </v>
      </c>
      <c r="U23" s="28" t="str">
        <v xml:space="preserve">Gaukur </v>
      </c>
      <c r="V23" s="28" t="str">
        <v>Gréta</v>
      </c>
      <c r="W23" s="28" t="str">
        <v xml:space="preserve">Guðný  </v>
      </c>
      <c r="X23" s="29" t="str">
        <v>Hrafnkell</v>
      </c>
    </row>
    <row r="24" spans="1:24" x14ac:dyDescent="0.2">
      <c r="A24">
        <v>23</v>
      </c>
      <c r="B24" t="s">
        <v>76</v>
      </c>
      <c r="C24" t="s">
        <v>58</v>
      </c>
      <c r="D24" t="str">
        <f>_xlfn.XLOOKUP(C24,[1]EventTypes!A:A,[1]EventTypes!B:B,"")</f>
        <v>Basic</v>
      </c>
      <c r="E24">
        <f>_xlfn.XLOOKUP(C24,[1]EventTypes!A:A,[1]EventTypes!D:D,"")</f>
        <v>70</v>
      </c>
      <c r="F24" t="str">
        <f>_xlfn.XLOOKUP(C24,[1]EventTypes!A:A,[1]EventTypes!C:C,"")</f>
        <v>EB</v>
      </c>
      <c r="G24">
        <f>_xlfn.XLOOKUP(C24,[1]EventTypes!A:A,[1]EventTypes!E:E,"")</f>
        <v>1</v>
      </c>
      <c r="H24">
        <f>_xlfn.XLOOKUP(C24,[1]EventTypes!A:A,[1]EventTypes!F:F,"")</f>
        <v>4</v>
      </c>
      <c r="I24">
        <v>7</v>
      </c>
      <c r="J24" s="2">
        <v>46110</v>
      </c>
      <c r="K24" s="3">
        <v>0.58333333333333337</v>
      </c>
      <c r="L24" s="3">
        <v>0.75</v>
      </c>
      <c r="M24" s="27" t="str" cm="1">
        <f t="array" ref="M24:S24">TRANSPOSE('[2]Mars 26 '!$E$30:$E$36)</f>
        <v xml:space="preserve">Jara </v>
      </c>
      <c r="N24" s="28" t="str">
        <v xml:space="preserve">Hrannar </v>
      </c>
      <c r="O24" s="28" t="str">
        <v>Sara B</v>
      </c>
      <c r="P24" s="28" t="str">
        <v>Ömmi</v>
      </c>
      <c r="Q24" s="28" t="str">
        <v xml:space="preserve">Selma </v>
      </c>
      <c r="R24" s="28" t="str">
        <v>Sæmi</v>
      </c>
      <c r="S24" s="28" t="str">
        <v xml:space="preserve">Sara J </v>
      </c>
      <c r="T24" s="28"/>
      <c r="U24" s="28"/>
      <c r="V24" s="28"/>
      <c r="W24" s="28"/>
      <c r="X24" s="29"/>
    </row>
    <row r="25" spans="1:24" x14ac:dyDescent="0.2">
      <c r="A25">
        <v>24</v>
      </c>
      <c r="B25" t="s">
        <v>77</v>
      </c>
      <c r="C25" t="s">
        <v>78</v>
      </c>
      <c r="D25" t="str">
        <f>_xlfn.XLOOKUP(C25,[1]EventTypes!A:A,[1]EventTypes!B:B,"")</f>
        <v>Solo</v>
      </c>
      <c r="E25">
        <f>_xlfn.XLOOKUP(C25,[1]EventTypes!A:A,[1]EventTypes!D:D,"")</f>
        <v>100</v>
      </c>
      <c r="F25" t="str">
        <f>_xlfn.XLOOKUP(C25,[1]EventTypes!A:A,[1]EventTypes!C:C,"")</f>
        <v>KL</v>
      </c>
      <c r="G25">
        <f>_xlfn.XLOOKUP(C25,[1]EventTypes!A:A,[1]EventTypes!E:E,"")</f>
        <v>0</v>
      </c>
      <c r="H25">
        <f>_xlfn.XLOOKUP(C25,[1]EventTypes!A:A,[1]EventTypes!F:F,"")</f>
        <v>0</v>
      </c>
      <c r="I25">
        <v>1</v>
      </c>
      <c r="J25" s="2">
        <v>46095</v>
      </c>
      <c r="K25" s="3">
        <v>0.75</v>
      </c>
      <c r="L25" s="3">
        <v>0.91666666666666663</v>
      </c>
      <c r="M25" s="18" t="str">
        <f>'[2]Mars 26 '!$C$5</f>
        <v>Agnes</v>
      </c>
      <c r="N25" s="19"/>
      <c r="O25" s="19"/>
      <c r="P25" s="19"/>
      <c r="Q25" s="19"/>
      <c r="R25" s="19"/>
      <c r="S25" s="19"/>
      <c r="T25" s="11"/>
      <c r="U25" s="11"/>
      <c r="V25" s="11"/>
      <c r="W25" s="11"/>
      <c r="X25" s="12"/>
    </row>
    <row r="26" spans="1:24" x14ac:dyDescent="0.2">
      <c r="A26">
        <v>25</v>
      </c>
      <c r="B26" t="s">
        <v>77</v>
      </c>
      <c r="C26" t="s">
        <v>78</v>
      </c>
      <c r="D26" t="str">
        <f>_xlfn.XLOOKUP(C26,[1]EventTypes!A:A,[1]EventTypes!B:B,"")</f>
        <v>Solo</v>
      </c>
      <c r="E26">
        <f>_xlfn.XLOOKUP(C26,[1]EventTypes!A:A,[1]EventTypes!D:D,"")</f>
        <v>100</v>
      </c>
      <c r="F26" t="str">
        <f>_xlfn.XLOOKUP(C26,[1]EventTypes!A:A,[1]EventTypes!C:C,"")</f>
        <v>KL</v>
      </c>
      <c r="G26">
        <f>_xlfn.XLOOKUP(C26,[1]EventTypes!A:A,[1]EventTypes!E:E,"")</f>
        <v>0</v>
      </c>
      <c r="H26">
        <f>_xlfn.XLOOKUP(C26,[1]EventTypes!A:A,[1]EventTypes!F:F,"")</f>
        <v>0</v>
      </c>
      <c r="I26">
        <v>1</v>
      </c>
      <c r="J26" s="2">
        <v>46102</v>
      </c>
      <c r="K26" s="3">
        <v>0.75</v>
      </c>
      <c r="L26" s="3">
        <v>0.91666666666666663</v>
      </c>
      <c r="M26" s="18" t="str" cm="1">
        <f t="array" ref="M26">TRANSPOSE('[2]Mars 26 '!$C$7)</f>
        <v xml:space="preserve">Katrín S </v>
      </c>
      <c r="N26" s="19"/>
      <c r="O26" s="19"/>
      <c r="P26" s="19"/>
      <c r="Q26" s="19"/>
      <c r="R26" s="19"/>
      <c r="S26" s="19"/>
      <c r="T26" s="11"/>
      <c r="U26" s="11"/>
      <c r="V26" s="11"/>
      <c r="W26" s="11"/>
      <c r="X26" s="12"/>
    </row>
    <row r="27" spans="1:24" x14ac:dyDescent="0.2">
      <c r="A27">
        <v>26</v>
      </c>
      <c r="B27" t="s">
        <v>77</v>
      </c>
      <c r="C27" t="s">
        <v>78</v>
      </c>
      <c r="D27" t="str">
        <f>_xlfn.XLOOKUP(C27,[1]EventTypes!A:A,[1]EventTypes!B:B,"")</f>
        <v>Solo</v>
      </c>
      <c r="E27">
        <f>_xlfn.XLOOKUP(C27,[1]EventTypes!A:A,[1]EventTypes!D:D,"")</f>
        <v>100</v>
      </c>
      <c r="F27" t="str">
        <f>_xlfn.XLOOKUP(C27,[1]EventTypes!A:A,[1]EventTypes!C:C,"")</f>
        <v>KL</v>
      </c>
      <c r="G27">
        <f>_xlfn.XLOOKUP(C27,[1]EventTypes!A:A,[1]EventTypes!E:E,"")</f>
        <v>0</v>
      </c>
      <c r="H27">
        <f>_xlfn.XLOOKUP(C27,[1]EventTypes!A:A,[1]EventTypes!F:F,"")</f>
        <v>0</v>
      </c>
      <c r="I27">
        <v>1</v>
      </c>
      <c r="J27" s="2">
        <v>46109</v>
      </c>
      <c r="K27" s="3">
        <v>0.75</v>
      </c>
      <c r="L27" s="3">
        <v>0.91666666666666663</v>
      </c>
      <c r="M27" s="18" t="str">
        <f>'[2]Mars 26 '!$C$9</f>
        <v>Sara B</v>
      </c>
      <c r="N27" s="19"/>
      <c r="O27" s="19"/>
      <c r="P27" s="19"/>
      <c r="Q27" s="19"/>
      <c r="R27" s="19"/>
      <c r="S27" s="19"/>
      <c r="T27" s="19"/>
      <c r="U27" s="19"/>
      <c r="V27" s="11"/>
      <c r="W27" s="11"/>
      <c r="X27" s="12"/>
    </row>
    <row r="28" spans="1:24" x14ac:dyDescent="0.2">
      <c r="A28">
        <v>27</v>
      </c>
      <c r="B28" t="s">
        <v>79</v>
      </c>
      <c r="C28" t="s">
        <v>80</v>
      </c>
      <c r="D28" t="str">
        <f>_xlfn.XLOOKUP(C28,[1]EventTypes!A:A,[1]EventTypes!B:B,"")</f>
        <v>Barna</v>
      </c>
      <c r="E28">
        <f>_xlfn.XLOOKUP(C28,[1]EventTypes!A:A,[1]EventTypes!D:D,"")</f>
        <v>80</v>
      </c>
      <c r="F28" t="str">
        <f>_xlfn.XLOOKUP(C28,[1]EventTypes!A:A,[1]EventTypes!C:C,"")</f>
        <v>KL</v>
      </c>
      <c r="G28">
        <f>_xlfn.XLOOKUP(C28,[1]EventTypes!A:A,[1]EventTypes!E:E,"")</f>
        <v>0</v>
      </c>
      <c r="H28">
        <f>_xlfn.XLOOKUP(C28,[1]EventTypes!A:A,[1]EventTypes!F:F,"")</f>
        <v>1</v>
      </c>
      <c r="I28">
        <v>2</v>
      </c>
      <c r="J28" s="2">
        <v>46088</v>
      </c>
      <c r="K28" s="3">
        <v>0.5</v>
      </c>
      <c r="L28" s="3">
        <v>0.66666666666666663</v>
      </c>
      <c r="M28" s="18" t="str" cm="1">
        <f t="array" ref="M28:N28">TRANSPOSE('[2]Mars 26 '!$C$12:$C$13)</f>
        <v>Veró</v>
      </c>
      <c r="N28" s="19" t="str">
        <v xml:space="preserve">Laufey </v>
      </c>
      <c r="O28" s="19"/>
      <c r="P28" s="19"/>
      <c r="Q28" s="11"/>
      <c r="R28" s="11"/>
      <c r="S28" s="11"/>
      <c r="T28" s="11"/>
      <c r="U28" s="11"/>
      <c r="V28" s="11"/>
      <c r="W28" s="11"/>
      <c r="X28" s="12"/>
    </row>
    <row r="29" spans="1:24" x14ac:dyDescent="0.2">
      <c r="A29">
        <v>28</v>
      </c>
      <c r="B29" t="s">
        <v>79</v>
      </c>
      <c r="C29" t="s">
        <v>80</v>
      </c>
      <c r="D29" t="str">
        <f>_xlfn.XLOOKUP(C29,[1]EventTypes!A:A,[1]EventTypes!B:B,"")</f>
        <v>Barna</v>
      </c>
      <c r="E29">
        <f>_xlfn.XLOOKUP(C29,[1]EventTypes!A:A,[1]EventTypes!D:D,"")</f>
        <v>80</v>
      </c>
      <c r="F29" t="str">
        <f>_xlfn.XLOOKUP(C29,[1]EventTypes!A:A,[1]EventTypes!C:C,"")</f>
        <v>KL</v>
      </c>
      <c r="G29">
        <v>0</v>
      </c>
      <c r="H29">
        <f>_xlfn.XLOOKUP(C29,[1]EventTypes!A:A,[1]EventTypes!F:F,"")</f>
        <v>1</v>
      </c>
      <c r="I29">
        <v>2</v>
      </c>
      <c r="J29" s="2">
        <v>46102</v>
      </c>
      <c r="K29" s="3">
        <v>0.5</v>
      </c>
      <c r="L29" s="3">
        <v>0.66666666666666663</v>
      </c>
      <c r="M29" s="18" t="str" cm="1">
        <f t="array" ref="M29:N29">TRANSPOSE('[2]Mars 26 '!$C$15:$C$16)</f>
        <v>Jórunn</v>
      </c>
      <c r="N29" s="19" t="str">
        <v xml:space="preserve">Anna S </v>
      </c>
      <c r="O29" s="19"/>
      <c r="P29" s="19"/>
      <c r="Q29" s="19"/>
      <c r="R29" s="19"/>
      <c r="S29" s="19"/>
      <c r="T29" s="11"/>
      <c r="U29" s="11"/>
      <c r="V29" s="11"/>
      <c r="W29" s="11"/>
      <c r="X29" s="12"/>
    </row>
    <row r="30" spans="1:24" ht="18" customHeight="1" x14ac:dyDescent="0.2">
      <c r="A30">
        <v>29</v>
      </c>
      <c r="B30" t="s">
        <v>79</v>
      </c>
      <c r="C30" t="s">
        <v>80</v>
      </c>
      <c r="D30" t="str">
        <f>_xlfn.XLOOKUP(C30,[1]EventTypes!A:A,[1]EventTypes!B:B,"")</f>
        <v>Barna</v>
      </c>
      <c r="E30">
        <f>_xlfn.XLOOKUP(C30,[1]EventTypes!A:A,[1]EventTypes!D:D,"")</f>
        <v>80</v>
      </c>
      <c r="F30" t="str">
        <f>_xlfn.XLOOKUP(C30,[1]EventTypes!A:A,[1]EventTypes!C:C,"")</f>
        <v>KL</v>
      </c>
      <c r="G30">
        <f>_xlfn.XLOOKUP(C30,[1]EventTypes!A:A,[1]EventTypes!E:E,"")</f>
        <v>0</v>
      </c>
      <c r="H30">
        <f>_xlfn.XLOOKUP(C30,[1]EventTypes!A:A,[1]EventTypes!F:F,"")</f>
        <v>1</v>
      </c>
      <c r="I30">
        <v>2</v>
      </c>
      <c r="J30" s="2">
        <v>46109</v>
      </c>
      <c r="K30" s="3">
        <v>0.5</v>
      </c>
      <c r="L30" s="3">
        <v>0.66666666666666663</v>
      </c>
      <c r="M30" s="18" t="str" cm="1">
        <f t="array" ref="M30:N30">TRANSPOSE('[2]Mars 26 '!$C$21:$C$22)</f>
        <v xml:space="preserve">Katrín S </v>
      </c>
      <c r="N30" s="19" t="str">
        <v>Jórunn</v>
      </c>
      <c r="O30" s="19"/>
      <c r="P30" s="19"/>
      <c r="Q30" s="19"/>
      <c r="R30" s="19"/>
      <c r="S30" s="11"/>
      <c r="T30" s="11"/>
      <c r="U30" s="11"/>
      <c r="V30" s="11"/>
      <c r="W30" s="11"/>
      <c r="X30" s="12"/>
    </row>
    <row r="31" spans="1:24" ht="16" customHeight="1" x14ac:dyDescent="0.2">
      <c r="A31">
        <v>30</v>
      </c>
      <c r="B31" t="s">
        <v>81</v>
      </c>
      <c r="C31" t="s">
        <v>81</v>
      </c>
      <c r="D31" t="str">
        <f>_xlfn.XLOOKUP(C31,[1]EventTypes!A:A,[1]EventTypes!B:B,"")</f>
        <v>Solo</v>
      </c>
      <c r="E31">
        <f>_xlfn.XLOOKUP(C31,[1]EventTypes!A:A,[1]EventTypes!D:D,"")</f>
        <v>90</v>
      </c>
      <c r="F31" t="str">
        <f>_xlfn.XLOOKUP(C31,[1]EventTypes!A:A,[1]EventTypes!C:C,"")</f>
        <v>BL</v>
      </c>
      <c r="G31">
        <f>_xlfn.XLOOKUP(C31,[1]EventTypes!A:A,[1]EventTypes!E:E,"")</f>
        <v>0</v>
      </c>
      <c r="H31">
        <f>_xlfn.XLOOKUP(C31,[1]EventTypes!A:A,[1]EventTypes!F:F,"")</f>
        <v>0</v>
      </c>
      <c r="I31">
        <v>1</v>
      </c>
      <c r="J31" s="2">
        <v>46085</v>
      </c>
      <c r="K31" s="3">
        <v>0.79166666666666663</v>
      </c>
      <c r="L31" s="3">
        <v>0.91666666666666663</v>
      </c>
      <c r="M31" s="18" t="str">
        <f>'[2]Mars 26 '!$C$25</f>
        <v>Þórey</v>
      </c>
      <c r="N31" s="19"/>
      <c r="O31" s="19"/>
      <c r="P31" s="19"/>
      <c r="Q31" s="19"/>
      <c r="R31" s="19"/>
      <c r="S31" s="11"/>
      <c r="T31" s="11"/>
      <c r="U31" s="11"/>
      <c r="V31" s="11"/>
      <c r="W31" s="11"/>
      <c r="X31" s="12"/>
    </row>
    <row r="32" spans="1:24" ht="16" customHeight="1" x14ac:dyDescent="0.2">
      <c r="A32">
        <v>31</v>
      </c>
      <c r="B32" t="s">
        <v>81</v>
      </c>
      <c r="C32" t="s">
        <v>81</v>
      </c>
      <c r="D32" t="str">
        <f>_xlfn.XLOOKUP(C32,[1]EventTypes!A:A,[1]EventTypes!B:B,"")</f>
        <v>Solo</v>
      </c>
      <c r="E32">
        <f>_xlfn.XLOOKUP(C32,[1]EventTypes!A:A,[1]EventTypes!D:D,"")</f>
        <v>90</v>
      </c>
      <c r="F32" t="str">
        <f>_xlfn.XLOOKUP(C32,[1]EventTypes!A:A,[1]EventTypes!C:C,"")</f>
        <v>BL</v>
      </c>
      <c r="G32">
        <f>_xlfn.XLOOKUP(C32,[1]EventTypes!A:A,[1]EventTypes!E:E,"")</f>
        <v>0</v>
      </c>
      <c r="H32">
        <f>_xlfn.XLOOKUP(C32,[1]EventTypes!A:A,[1]EventTypes!F:F,"")</f>
        <v>0</v>
      </c>
      <c r="I32">
        <v>1</v>
      </c>
      <c r="J32" s="2">
        <v>46092</v>
      </c>
      <c r="K32" s="3">
        <v>0.79166666666666663</v>
      </c>
      <c r="L32" s="3">
        <v>0.91666666666666663</v>
      </c>
      <c r="M32" s="18" t="str">
        <f>'[2]Mars 26 '!$C$27</f>
        <v xml:space="preserve">Elmar </v>
      </c>
      <c r="N32" s="19"/>
      <c r="O32" s="19"/>
      <c r="P32" s="19"/>
      <c r="Q32" s="19"/>
      <c r="R32" s="19"/>
      <c r="S32" s="11"/>
      <c r="T32" s="11"/>
      <c r="U32" s="11"/>
      <c r="V32" s="11"/>
      <c r="W32" s="11"/>
      <c r="X32" s="12"/>
    </row>
    <row r="33" spans="1:24" ht="16" customHeight="1" x14ac:dyDescent="0.2">
      <c r="A33">
        <v>32</v>
      </c>
      <c r="B33" t="s">
        <v>81</v>
      </c>
      <c r="C33" t="s">
        <v>81</v>
      </c>
      <c r="D33" t="str">
        <f>_xlfn.XLOOKUP(C33,[1]EventTypes!A:A,[1]EventTypes!B:B,"")</f>
        <v>Solo</v>
      </c>
      <c r="E33">
        <f>_xlfn.XLOOKUP(C33,[1]EventTypes!A:A,[1]EventTypes!D:D,"")</f>
        <v>90</v>
      </c>
      <c r="F33" t="str">
        <f>_xlfn.XLOOKUP(C33,[1]EventTypes!A:A,[1]EventTypes!C:C,"")</f>
        <v>BL</v>
      </c>
      <c r="G33">
        <v>0</v>
      </c>
      <c r="H33">
        <f>_xlfn.XLOOKUP(C33,[1]EventTypes!A:A,[1]EventTypes!F:F,"")</f>
        <v>0</v>
      </c>
      <c r="I33">
        <v>1</v>
      </c>
      <c r="J33" s="2">
        <v>46099</v>
      </c>
      <c r="K33" s="3">
        <v>0.79166666666666663</v>
      </c>
      <c r="L33" s="3">
        <v>0.91666666666666663</v>
      </c>
      <c r="M33" s="18" t="str">
        <f>'[2]Mars 26 '!$C$29</f>
        <v>Katrín H</v>
      </c>
      <c r="N33" s="19"/>
      <c r="O33" s="19"/>
      <c r="P33" s="19"/>
      <c r="Q33" s="19"/>
      <c r="R33" s="19"/>
      <c r="S33" s="19"/>
      <c r="T33" s="11"/>
      <c r="U33" s="11"/>
      <c r="V33" s="11"/>
      <c r="W33" s="11"/>
      <c r="X33" s="12"/>
    </row>
    <row r="34" spans="1:24" x14ac:dyDescent="0.2">
      <c r="A34">
        <v>33</v>
      </c>
      <c r="B34" t="s">
        <v>81</v>
      </c>
      <c r="C34" t="s">
        <v>81</v>
      </c>
      <c r="D34" t="str">
        <f>_xlfn.XLOOKUP(C34,[1]EventTypes!A:A,[1]EventTypes!B:B,"")</f>
        <v>Solo</v>
      </c>
      <c r="E34">
        <f>_xlfn.XLOOKUP(C34,[1]EventTypes!A:A,[1]EventTypes!D:D,"")</f>
        <v>90</v>
      </c>
      <c r="F34" t="str">
        <f>_xlfn.XLOOKUP(C34,[1]EventTypes!A:A,[1]EventTypes!C:C,"")</f>
        <v>BL</v>
      </c>
      <c r="G34">
        <v>0</v>
      </c>
      <c r="H34">
        <f>_xlfn.XLOOKUP(C34,[1]EventTypes!A:A,[1]EventTypes!F:F,"")</f>
        <v>0</v>
      </c>
      <c r="I34">
        <v>1</v>
      </c>
      <c r="J34" s="2">
        <v>46106</v>
      </c>
      <c r="K34" s="3">
        <v>0.79166666666666663</v>
      </c>
      <c r="L34" s="3">
        <v>0.91666666666666663</v>
      </c>
      <c r="M34" s="18" t="str">
        <f>'[2]Mars 26 '!$C$31</f>
        <v xml:space="preserve">Orri </v>
      </c>
      <c r="N34" s="19"/>
      <c r="O34" s="19"/>
      <c r="P34" s="19"/>
      <c r="Q34" s="19"/>
      <c r="R34" s="19"/>
      <c r="S34" s="19"/>
      <c r="T34" s="19"/>
      <c r="U34" s="11"/>
      <c r="V34" s="11"/>
      <c r="W34" s="11"/>
      <c r="X34" s="12"/>
    </row>
    <row r="35" spans="1:24" x14ac:dyDescent="0.2">
      <c r="A35">
        <v>34</v>
      </c>
      <c r="B35" t="s">
        <v>82</v>
      </c>
      <c r="C35" t="s">
        <v>61</v>
      </c>
      <c r="D35" t="str">
        <f>_xlfn.XLOOKUP(C35,[1]EventTypes!A:A,[1]EventTypes!B:B,"")</f>
        <v>Basic</v>
      </c>
      <c r="E35">
        <f>_xlfn.XLOOKUP(C35,[1]EventTypes!A:A,[1]EventTypes!D:D,"")</f>
        <v>40</v>
      </c>
      <c r="F35" t="str">
        <f>_xlfn.XLOOKUP(C35,[1]EventTypes!A:A,[1]EventTypes!C:C,"")</f>
        <v>KL</v>
      </c>
      <c r="G35">
        <v>0</v>
      </c>
      <c r="H35">
        <f>_xlfn.XLOOKUP(C35,[1]EventTypes!A:A,[1]EventTypes!F:F,"")</f>
        <v>1</v>
      </c>
      <c r="I35">
        <v>1</v>
      </c>
      <c r="J35" s="2">
        <v>46091</v>
      </c>
      <c r="K35" s="3">
        <v>0.79166666666666663</v>
      </c>
      <c r="L35" s="3">
        <v>0.91666666666666663</v>
      </c>
      <c r="M35" s="18" t="str">
        <f>'[2]Mars 26 '!$C$35</f>
        <v xml:space="preserve">Gréta </v>
      </c>
      <c r="N35" s="19"/>
      <c r="O35" s="19"/>
      <c r="P35" s="19"/>
      <c r="Q35" s="19"/>
      <c r="R35" s="19"/>
      <c r="S35" s="19"/>
      <c r="T35" s="19"/>
      <c r="U35" s="11"/>
      <c r="V35" s="11"/>
      <c r="W35" s="11"/>
      <c r="X35" s="12"/>
    </row>
    <row r="36" spans="1:24" x14ac:dyDescent="0.2">
      <c r="A36">
        <v>35</v>
      </c>
      <c r="B36" t="s">
        <v>83</v>
      </c>
      <c r="C36" t="s">
        <v>63</v>
      </c>
      <c r="D36" t="str">
        <f>_xlfn.XLOOKUP(C36,[1]EventTypes!A:A,[1]EventTypes!B:B,"")</f>
        <v>Basic</v>
      </c>
      <c r="E36">
        <f>_xlfn.XLOOKUP(C36,[1]EventTypes!A:A,[1]EventTypes!D:D,"")</f>
        <v>80</v>
      </c>
      <c r="F36" t="str">
        <f>_xlfn.XLOOKUP(C36,[1]EventTypes!A:A,[1]EventTypes!C:C,"")</f>
        <v>NL</v>
      </c>
      <c r="G36">
        <v>0</v>
      </c>
      <c r="H36">
        <f>_xlfn.XLOOKUP(C36,[1]EventTypes!A:A,[1]EventTypes!F:F,"")</f>
        <v>0</v>
      </c>
      <c r="I36">
        <v>2</v>
      </c>
      <c r="J36" s="2">
        <v>46098</v>
      </c>
      <c r="K36" s="3">
        <v>0.79166666666666663</v>
      </c>
      <c r="L36" s="3">
        <v>0.91666666666666663</v>
      </c>
      <c r="M36" s="18" t="str" cm="1">
        <f t="array" ref="M36:N36">TRANSPOSE('[2]Mars 26 '!$C$38:$C$39)</f>
        <v xml:space="preserve">Veró </v>
      </c>
      <c r="N36" s="19" t="str">
        <v xml:space="preserve">Védís </v>
      </c>
      <c r="O36" s="19"/>
      <c r="P36" s="19"/>
      <c r="Q36" s="19"/>
      <c r="R36" s="19"/>
      <c r="S36" s="11"/>
      <c r="T36" s="11"/>
      <c r="U36" s="11"/>
      <c r="V36" s="11"/>
      <c r="W36" s="11"/>
      <c r="X36" s="12"/>
    </row>
    <row r="37" spans="1:24" x14ac:dyDescent="0.2">
      <c r="A37">
        <v>36</v>
      </c>
      <c r="B37" t="s">
        <v>84</v>
      </c>
      <c r="C37" t="s">
        <v>63</v>
      </c>
      <c r="D37" t="str">
        <f>_xlfn.XLOOKUP(C37,[1]EventTypes!A:A,[1]EventTypes!B:B,"")</f>
        <v>Basic</v>
      </c>
      <c r="E37">
        <f>_xlfn.XLOOKUP(C37,[1]EventTypes!A:A,[1]EventTypes!D:D,"")</f>
        <v>80</v>
      </c>
      <c r="F37" t="str">
        <f>_xlfn.XLOOKUP(C37,[1]EventTypes!A:A,[1]EventTypes!C:C,"")</f>
        <v>NL</v>
      </c>
      <c r="G37">
        <v>0</v>
      </c>
      <c r="H37">
        <f>_xlfn.XLOOKUP(C37,[1]EventTypes!A:A,[1]EventTypes!F:F,"")</f>
        <v>0</v>
      </c>
      <c r="I37">
        <v>1</v>
      </c>
      <c r="J37" s="2">
        <v>46097</v>
      </c>
      <c r="K37" s="3">
        <v>0.79166666666666663</v>
      </c>
      <c r="L37" s="3">
        <v>0.91666666666666663</v>
      </c>
      <c r="M37" s="18" t="str">
        <f>'[2]Mars 26 '!$C$43</f>
        <v>Sara J</v>
      </c>
      <c r="N37" s="19"/>
      <c r="O37" s="19"/>
      <c r="P37" s="19"/>
      <c r="Q37" s="19"/>
      <c r="R37" s="19"/>
      <c r="S37" s="19"/>
      <c r="T37" s="19"/>
      <c r="U37" s="11"/>
      <c r="V37" s="11"/>
      <c r="W37" s="11"/>
      <c r="X37" s="12"/>
    </row>
    <row r="38" spans="1:24" x14ac:dyDescent="0.2">
      <c r="A38">
        <v>37</v>
      </c>
      <c r="B38" t="s">
        <v>85</v>
      </c>
      <c r="C38" t="s">
        <v>80</v>
      </c>
      <c r="D38" t="str">
        <f>_xlfn.XLOOKUP(C38,[1]EventTypes!A:A,[1]EventTypes!B:B,"")</f>
        <v>Barna</v>
      </c>
      <c r="E38">
        <f>_xlfn.XLOOKUP(C38,[1]EventTypes!A:A,[1]EventTypes!D:D,"")</f>
        <v>80</v>
      </c>
      <c r="F38" t="str">
        <f>_xlfn.XLOOKUP(C38,[1]EventTypes!A:A,[1]EventTypes!C:C,"")</f>
        <v>KL</v>
      </c>
      <c r="G38">
        <f>_xlfn.XLOOKUP(C38,[1]EventTypes!A:A,[1]EventTypes!E:E,"")</f>
        <v>0</v>
      </c>
      <c r="H38">
        <f>_xlfn.XLOOKUP(C38,[1]EventTypes!A:A,[1]EventTypes!F:F,"")</f>
        <v>1</v>
      </c>
      <c r="I38">
        <v>2</v>
      </c>
      <c r="J38" s="2">
        <v>46103</v>
      </c>
      <c r="K38" s="3">
        <v>0.5</v>
      </c>
      <c r="L38" s="3">
        <v>0.66666666666666663</v>
      </c>
      <c r="M38" s="18" t="str" cm="1">
        <f t="array" ref="M38:N38">TRANSPOSE('[2]Mars 26 '!$C$46:$C$47)</f>
        <v xml:space="preserve">Auður </v>
      </c>
      <c r="N38" s="19" t="str">
        <v xml:space="preserve">Sigrður </v>
      </c>
      <c r="O38" s="19"/>
      <c r="P38" s="19"/>
      <c r="Q38" s="19"/>
      <c r="R38" s="19"/>
      <c r="S38" s="11"/>
      <c r="T38" s="11"/>
      <c r="U38" s="11"/>
      <c r="V38" s="11"/>
      <c r="W38" s="11"/>
      <c r="X38" s="12"/>
    </row>
    <row r="39" spans="1:24" x14ac:dyDescent="0.2">
      <c r="A39">
        <v>38</v>
      </c>
      <c r="B39" t="s">
        <v>86</v>
      </c>
      <c r="C39" t="s">
        <v>69</v>
      </c>
      <c r="D39" t="str">
        <f>_xlfn.XLOOKUP(C39,[1]EventTypes!A:A,[1]EventTypes!B:B,"")</f>
        <v>Basic</v>
      </c>
      <c r="E39">
        <f>_xlfn.XLOOKUP(C39,[1]EventTypes!A:A,[1]EventTypes!D:D,"")</f>
        <v>80</v>
      </c>
      <c r="F39" t="str">
        <f>_xlfn.XLOOKUP(C39,[1]EventTypes!A:A,[1]EventTypes!C:C,"")</f>
        <v>SB</v>
      </c>
      <c r="G39">
        <v>0</v>
      </c>
      <c r="H39">
        <f>_xlfn.XLOOKUP(C39,[1]EventTypes!A:A,[1]EventTypes!F:F,"")</f>
        <v>1</v>
      </c>
      <c r="I39">
        <v>1</v>
      </c>
      <c r="J39" s="2">
        <v>46107</v>
      </c>
      <c r="K39" s="3">
        <v>0.70833333333333337</v>
      </c>
      <c r="L39" s="3">
        <v>0.83333333333333337</v>
      </c>
      <c r="M39" s="18" t="str">
        <f>'[2]Mars 26 '!$C$50</f>
        <v xml:space="preserve">Valdís </v>
      </c>
      <c r="N39" s="19"/>
      <c r="O39" s="19"/>
      <c r="P39" s="19"/>
      <c r="Q39" s="19"/>
      <c r="R39" s="11"/>
      <c r="S39" s="11"/>
      <c r="T39" s="11"/>
      <c r="U39" s="11"/>
      <c r="V39" s="11"/>
      <c r="W39" s="11"/>
      <c r="X39" s="12"/>
    </row>
    <row r="40" spans="1:24" x14ac:dyDescent="0.2">
      <c r="A40">
        <v>39</v>
      </c>
      <c r="B40" t="s">
        <v>87</v>
      </c>
      <c r="C40" t="s">
        <v>87</v>
      </c>
      <c r="D40" t="str">
        <f>_xlfn.XLOOKUP(C40,[1]EventTypes!A:A,[1]EventTypes!B:B,"")</f>
        <v>Solo</v>
      </c>
      <c r="E40">
        <f>_xlfn.XLOOKUP(C40,[1]EventTypes!A:A,[1]EventTypes!D:D,"")</f>
        <v>80</v>
      </c>
      <c r="F40" t="str">
        <f>_xlfn.XLOOKUP(C40,[1]EventTypes!A:A,[1]EventTypes!C:C,"")</f>
        <v>NL</v>
      </c>
      <c r="G40">
        <f>_xlfn.XLOOKUP(C40,[1]EventTypes!A:A,[1]EventTypes!E:E,"")</f>
        <v>0</v>
      </c>
      <c r="H40">
        <f>_xlfn.XLOOKUP(C40,[1]EventTypes!A:A,[1]EventTypes!F:F,"")</f>
        <v>0</v>
      </c>
      <c r="I40">
        <v>2</v>
      </c>
      <c r="J40" s="9">
        <v>46096</v>
      </c>
      <c r="K40" s="3">
        <v>0.625</v>
      </c>
      <c r="L40" s="3">
        <v>0.79166666666666663</v>
      </c>
      <c r="M40" s="18" t="str" cm="1">
        <f t="array" ref="M40:N40">TRANSPOSE('[2]Mars 26 '!$E$9:$E$10)</f>
        <v xml:space="preserve">Guðny </v>
      </c>
      <c r="N40" s="19" t="str">
        <v xml:space="preserve">Auður </v>
      </c>
      <c r="O40" s="19"/>
      <c r="P40" s="19"/>
      <c r="Q40" s="19"/>
      <c r="R40" s="19"/>
      <c r="S40" s="11"/>
      <c r="T40" s="11"/>
      <c r="U40" s="11"/>
      <c r="V40" s="11"/>
      <c r="W40" s="11"/>
      <c r="X40" s="12"/>
    </row>
    <row r="41" spans="1:24" x14ac:dyDescent="0.2">
      <c r="A41">
        <v>40</v>
      </c>
      <c r="B41" t="s">
        <v>88</v>
      </c>
      <c r="C41" t="s">
        <v>61</v>
      </c>
      <c r="D41" t="str">
        <f>_xlfn.XLOOKUP(C41,[1]EventTypes!A:A,[1]EventTypes!B:B,"")</f>
        <v>Basic</v>
      </c>
      <c r="E41">
        <f>_xlfn.XLOOKUP(C41,[1]EventTypes!A:A,[1]EventTypes!D:D,"")</f>
        <v>40</v>
      </c>
      <c r="F41" t="str">
        <f>_xlfn.XLOOKUP(C41,[1]EventTypes!A:A,[1]EventTypes!C:C,"")</f>
        <v>KL</v>
      </c>
      <c r="G41">
        <f>_xlfn.XLOOKUP(C41,[1]EventTypes!A:A,[1]EventTypes!E:E,"")</f>
        <v>0</v>
      </c>
      <c r="H41">
        <f>_xlfn.XLOOKUP(C41,[1]EventTypes!A:A,[1]EventTypes!F:F,"")</f>
        <v>1</v>
      </c>
      <c r="I41">
        <v>1</v>
      </c>
      <c r="J41" s="2">
        <v>46087</v>
      </c>
      <c r="K41" s="3">
        <v>0.79166666666666663</v>
      </c>
      <c r="L41" s="3">
        <v>0.91666666666666663</v>
      </c>
      <c r="M41" s="18" t="str">
        <f>'[2]Mars 26 '!$E$18</f>
        <v xml:space="preserve">Erna </v>
      </c>
      <c r="N41" s="19"/>
      <c r="O41" s="19"/>
      <c r="P41" s="19"/>
      <c r="Q41" s="19"/>
      <c r="R41" s="19"/>
      <c r="S41" s="11"/>
      <c r="T41" s="11"/>
      <c r="U41" s="11"/>
      <c r="V41" s="11"/>
      <c r="W41" s="11"/>
      <c r="X41" s="12"/>
    </row>
    <row r="42" spans="1:24" x14ac:dyDescent="0.2">
      <c r="A42">
        <v>41</v>
      </c>
      <c r="B42" t="s">
        <v>89</v>
      </c>
      <c r="C42" t="s">
        <v>63</v>
      </c>
      <c r="D42" t="str">
        <f>_xlfn.XLOOKUP(C42,[1]EventTypes!A:A,[1]EventTypes!B:B,"")</f>
        <v>Basic</v>
      </c>
      <c r="E42">
        <f>_xlfn.XLOOKUP(C42,[1]EventTypes!A:A,[1]EventTypes!D:D,"")</f>
        <v>80</v>
      </c>
      <c r="F42" t="str">
        <f>_xlfn.XLOOKUP(C42,[1]EventTypes!A:A,[1]EventTypes!C:C,"")</f>
        <v>NL</v>
      </c>
      <c r="G42">
        <v>0</v>
      </c>
      <c r="H42">
        <f>_xlfn.XLOOKUP(C42,[1]EventTypes!A:A,[1]EventTypes!F:F,"")</f>
        <v>0</v>
      </c>
      <c r="I42">
        <v>2</v>
      </c>
      <c r="J42" s="2">
        <v>46092</v>
      </c>
      <c r="K42" s="3">
        <v>0.79166666666666663</v>
      </c>
      <c r="L42" s="3">
        <v>0.91666666666666663</v>
      </c>
      <c r="M42" s="18" t="str" cm="1">
        <f t="array" ref="M42:N42">TRANSPOSE('[2]Mars 26 '!$E$21:$E$22)</f>
        <v>Sæmi</v>
      </c>
      <c r="N42" s="19" t="str">
        <v xml:space="preserve">Gaukur </v>
      </c>
      <c r="O42" s="19"/>
      <c r="P42" s="19"/>
      <c r="Q42" s="19"/>
      <c r="R42" s="19"/>
      <c r="S42" s="11"/>
      <c r="T42" s="11"/>
      <c r="U42" s="11"/>
      <c r="V42" s="11"/>
      <c r="W42" s="11"/>
      <c r="X42" s="12"/>
    </row>
    <row r="43" spans="1:24" x14ac:dyDescent="0.2">
      <c r="A43">
        <v>42</v>
      </c>
      <c r="B43" t="s">
        <v>90</v>
      </c>
      <c r="C43" t="s">
        <v>63</v>
      </c>
      <c r="D43" t="str">
        <f>_xlfn.XLOOKUP(C43,[1]EventTypes!A:A,[1]EventTypes!B:B,"")</f>
        <v>Basic</v>
      </c>
      <c r="E43">
        <f>_xlfn.XLOOKUP(C43,[1]EventTypes!A:A,[1]EventTypes!D:D,"")</f>
        <v>80</v>
      </c>
      <c r="F43" t="str">
        <f>_xlfn.XLOOKUP(C43,[1]EventTypes!A:A,[1]EventTypes!C:C,"")</f>
        <v>NL</v>
      </c>
      <c r="G43">
        <v>0</v>
      </c>
      <c r="H43">
        <f>_xlfn.XLOOKUP(C43,[1]EventTypes!A:A,[1]EventTypes!F:F,"")</f>
        <v>0</v>
      </c>
      <c r="I43">
        <v>1</v>
      </c>
      <c r="J43" s="2">
        <v>46112</v>
      </c>
      <c r="K43" s="3">
        <v>0.75</v>
      </c>
      <c r="L43" s="3">
        <v>0.875</v>
      </c>
      <c r="M43" s="21" t="str">
        <f>'[2]Mars 26 '!$E$38</f>
        <v>alda</v>
      </c>
      <c r="N43" s="22"/>
      <c r="O43" s="22"/>
      <c r="P43" s="22"/>
      <c r="Q43" s="22"/>
      <c r="R43" s="22"/>
      <c r="S43" s="22"/>
      <c r="T43" s="22"/>
      <c r="U43" s="13"/>
      <c r="V43" s="13"/>
      <c r="W43" s="13"/>
      <c r="X43" s="14"/>
    </row>
    <row r="44" spans="1:24" x14ac:dyDescent="0.2">
      <c r="J44" s="2"/>
      <c r="K44" s="3"/>
      <c r="L44" s="3"/>
    </row>
    <row r="45" spans="1:24" x14ac:dyDescent="0.2">
      <c r="J45" s="2"/>
      <c r="K45" s="3"/>
      <c r="L45" s="3"/>
    </row>
    <row r="46" spans="1:24" x14ac:dyDescent="0.2">
      <c r="J46" s="2"/>
      <c r="K46" s="3"/>
      <c r="L46" s="3"/>
    </row>
    <row r="47" spans="1:24" x14ac:dyDescent="0.2">
      <c r="J47" s="2"/>
      <c r="K47" s="3"/>
      <c r="L47" s="3"/>
    </row>
    <row r="48" spans="1:24" x14ac:dyDescent="0.2">
      <c r="J48" s="2"/>
      <c r="K48" s="3"/>
      <c r="L48" s="3"/>
    </row>
    <row r="49" spans="10:12" x14ac:dyDescent="0.2">
      <c r="J49" s="2"/>
      <c r="K49" s="3"/>
      <c r="L49" s="3"/>
    </row>
    <row r="50" spans="10:12" x14ac:dyDescent="0.2">
      <c r="J50" s="2"/>
      <c r="K50" s="3"/>
      <c r="L50" s="3"/>
    </row>
    <row r="51" spans="10:12" x14ac:dyDescent="0.2">
      <c r="J51" s="2"/>
      <c r="K51" s="3"/>
      <c r="L51" s="3"/>
    </row>
    <row r="52" spans="10:12" x14ac:dyDescent="0.2">
      <c r="J52" s="2"/>
      <c r="K52" s="3"/>
      <c r="L52" s="3"/>
    </row>
    <row r="53" spans="10:12" x14ac:dyDescent="0.2">
      <c r="J53" s="2"/>
      <c r="K53" s="3"/>
      <c r="L53" s="3"/>
    </row>
    <row r="54" spans="10:12" x14ac:dyDescent="0.2">
      <c r="J54" s="2"/>
      <c r="K54" s="3"/>
      <c r="L54" s="3"/>
    </row>
    <row r="55" spans="10:12" x14ac:dyDescent="0.2">
      <c r="J55" s="2"/>
      <c r="K55" s="3"/>
      <c r="L55" s="3"/>
    </row>
    <row r="56" spans="10:12" x14ac:dyDescent="0.2">
      <c r="J56" s="2"/>
      <c r="K56" s="3"/>
      <c r="L56" s="3"/>
    </row>
    <row r="57" spans="10:12" x14ac:dyDescent="0.2">
      <c r="J57" s="2"/>
      <c r="K57" s="3"/>
      <c r="L57" s="3"/>
    </row>
    <row r="58" spans="10:12" x14ac:dyDescent="0.2">
      <c r="J58" s="2"/>
      <c r="K58" s="3"/>
      <c r="L58" s="3"/>
    </row>
    <row r="59" spans="10:12" x14ac:dyDescent="0.2">
      <c r="J59" s="2"/>
      <c r="K59" s="3"/>
      <c r="L59" s="3"/>
    </row>
    <row r="60" spans="10:12" x14ac:dyDescent="0.2">
      <c r="J60" s="2"/>
      <c r="K60" s="3"/>
      <c r="L60" s="3"/>
    </row>
    <row r="61" spans="10:12" x14ac:dyDescent="0.2">
      <c r="J61" s="2"/>
      <c r="K61" s="3"/>
      <c r="L61" s="3"/>
    </row>
    <row r="62" spans="10:12" x14ac:dyDescent="0.2">
      <c r="J62" s="2"/>
      <c r="K62" s="3"/>
      <c r="L62" s="3"/>
    </row>
    <row r="63" spans="10:12" x14ac:dyDescent="0.2">
      <c r="J63" s="2"/>
      <c r="K63" s="3"/>
      <c r="L6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FC0E-422F-314A-BAEA-9CA1B3C05C0C}">
  <dimension ref="A1:Y36"/>
  <sheetViews>
    <sheetView zoomScale="75" workbookViewId="0">
      <selection activeCell="AB30" sqref="AB30"/>
    </sheetView>
  </sheetViews>
  <sheetFormatPr baseColWidth="10" defaultRowHeight="16" x14ac:dyDescent="0.2"/>
  <sheetData>
    <row r="1" spans="1:25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25" x14ac:dyDescent="0.2">
      <c r="A2">
        <v>1</v>
      </c>
      <c r="B2" t="s">
        <v>81</v>
      </c>
      <c r="C2" t="s">
        <v>81</v>
      </c>
      <c r="D2" t="str">
        <f>_xlfn.XLOOKUP(C2,[3]EventTypes!A:A,[3]EventTypes!B:B,"")</f>
        <v>Solo</v>
      </c>
      <c r="E2">
        <f>_xlfn.XLOOKUP(C2,[3]EventTypes!A:A,[3]EventTypes!D:D,"")</f>
        <v>90</v>
      </c>
      <c r="F2" t="str">
        <f>_xlfn.XLOOKUP(C2,[3]EventTypes!A:A,[3]EventTypes!C:C,"")</f>
        <v>BL</v>
      </c>
      <c r="G2">
        <f>_xlfn.XLOOKUP(C2,[3]EventTypes!A:A,[3]EventTypes!E:E,"")</f>
        <v>0</v>
      </c>
      <c r="H2">
        <f>_xlfn.XLOOKUP(C2,[3]EventTypes!A:A,[3]EventTypes!F:F,"")</f>
        <v>0</v>
      </c>
      <c r="I2">
        <f>_xlfn.XLOOKUP(C2,[3]EventTypes!A:A,[3]EventTypes!G:G,"")</f>
        <v>1</v>
      </c>
      <c r="J2" s="2">
        <v>46113</v>
      </c>
      <c r="K2" s="3">
        <v>0.79166666666666663</v>
      </c>
      <c r="L2" s="3">
        <v>0.95833333333333337</v>
      </c>
      <c r="M2" s="15" t="str" cm="1">
        <f t="array" ref="M2">TRANSPOSE('[2]Apríl 26 - Sara og Katrín '!$C$12)</f>
        <v xml:space="preserve">Gaukur 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7"/>
    </row>
    <row r="3" spans="1:25" x14ac:dyDescent="0.2">
      <c r="A3">
        <v>2</v>
      </c>
      <c r="B3" t="s">
        <v>90</v>
      </c>
      <c r="C3" t="s">
        <v>63</v>
      </c>
      <c r="D3" t="str">
        <f>_xlfn.XLOOKUP(C3,[3]EventTypes!A:A,[3]EventTypes!B:B,"")</f>
        <v>Basic</v>
      </c>
      <c r="E3">
        <f>_xlfn.XLOOKUP(C3,[3]EventTypes!A:A,[3]EventTypes!D:D,"")</f>
        <v>80</v>
      </c>
      <c r="F3" t="str">
        <f>_xlfn.XLOOKUP(C3,[3]EventTypes!A:A,[3]EventTypes!C:C,"")</f>
        <v>NL</v>
      </c>
      <c r="G3">
        <v>0</v>
      </c>
      <c r="H3">
        <f>_xlfn.XLOOKUP(C3,[3]EventTypes!A:A,[3]EventTypes!F:F,"")</f>
        <v>0</v>
      </c>
      <c r="I3">
        <v>1</v>
      </c>
      <c r="J3" s="2">
        <v>46113</v>
      </c>
      <c r="K3" s="3">
        <v>0.6875</v>
      </c>
      <c r="L3" s="3">
        <v>0.83333333333333337</v>
      </c>
      <c r="M3" s="18" t="str" cm="1">
        <f t="array" ref="M3">TRANSPOSE('[2]Apríl 26 - Sara og Katrín '!$E$3)</f>
        <v xml:space="preserve">Erna 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20"/>
    </row>
    <row r="4" spans="1:25" x14ac:dyDescent="0.2">
      <c r="A4">
        <v>3</v>
      </c>
      <c r="B4" t="s">
        <v>141</v>
      </c>
      <c r="C4" t="s">
        <v>58</v>
      </c>
      <c r="D4" t="str">
        <f>_xlfn.XLOOKUP(C4,[3]EventTypes!A:A,[3]EventTypes!B:B,"")</f>
        <v>Basic</v>
      </c>
      <c r="E4">
        <f>_xlfn.XLOOKUP(C4,[3]EventTypes!A:A,[3]EventTypes!D:D,"")</f>
        <v>70</v>
      </c>
      <c r="F4" t="str">
        <f>_xlfn.XLOOKUP(C4,[3]EventTypes!A:A,[3]EventTypes!C:C,"")</f>
        <v>EB</v>
      </c>
      <c r="G4">
        <f>_xlfn.XLOOKUP(C4,[3]EventTypes!A:A,[3]EventTypes!E:E,"")</f>
        <v>1</v>
      </c>
      <c r="H4">
        <f>_xlfn.XLOOKUP(C4,[3]EventTypes!A:A,[3]EventTypes!F:F,"")</f>
        <v>4</v>
      </c>
      <c r="I4">
        <v>14</v>
      </c>
      <c r="J4" s="2">
        <v>46113</v>
      </c>
      <c r="K4" s="3">
        <v>0.79166666666666663</v>
      </c>
      <c r="L4" s="3">
        <v>0.9375</v>
      </c>
      <c r="M4" s="18" t="str" cm="1">
        <f t="array" ref="M4:Y4">TRANSPOSE('[2]Apríl 26 - Sara og Katrín '!$G$3:$G$15)</f>
        <v xml:space="preserve">Róbert </v>
      </c>
      <c r="N4" s="19" t="str">
        <v>Hrafnkell</v>
      </c>
      <c r="O4" s="19" t="str">
        <v xml:space="preserve">Sigríður </v>
      </c>
      <c r="P4" s="19" t="str">
        <v xml:space="preserve">Jórunn  </v>
      </c>
      <c r="Q4" s="19" t="str">
        <v xml:space="preserve">Anna S </v>
      </c>
      <c r="R4" s="19" t="str">
        <v>Katrín S</v>
      </c>
      <c r="S4" s="19" t="str">
        <v xml:space="preserve">Laufey </v>
      </c>
      <c r="T4" s="19" t="str">
        <v xml:space="preserve">Magnús </v>
      </c>
      <c r="U4" s="19" t="str">
        <v>Orri</v>
      </c>
      <c r="V4" s="19" t="str">
        <v xml:space="preserve">Selma </v>
      </c>
      <c r="W4" s="19" t="str">
        <v xml:space="preserve">Rut </v>
      </c>
      <c r="X4" s="19" t="str">
        <v>Sara J</v>
      </c>
      <c r="Y4" s="20" t="str">
        <v xml:space="preserve">Sæmi </v>
      </c>
    </row>
    <row r="5" spans="1:25" x14ac:dyDescent="0.2">
      <c r="A5">
        <v>4</v>
      </c>
      <c r="B5" t="s">
        <v>90</v>
      </c>
      <c r="C5" t="s">
        <v>63</v>
      </c>
      <c r="D5" t="str">
        <f>_xlfn.XLOOKUP(C5,[3]EventTypes!A:A,[3]EventTypes!B:B,"")</f>
        <v>Basic</v>
      </c>
      <c r="E5">
        <f>_xlfn.XLOOKUP(C5,[3]EventTypes!A:A,[3]EventTypes!D:D,"")</f>
        <v>80</v>
      </c>
      <c r="F5" t="str">
        <f>_xlfn.XLOOKUP(C5,[3]EventTypes!A:A,[3]EventTypes!C:C,"")</f>
        <v>NL</v>
      </c>
      <c r="G5">
        <v>0</v>
      </c>
      <c r="H5">
        <f>_xlfn.XLOOKUP(C5,[3]EventTypes!A:A,[3]EventTypes!F:F,"")</f>
        <v>0</v>
      </c>
      <c r="I5">
        <v>1</v>
      </c>
      <c r="J5" s="2">
        <v>46114</v>
      </c>
      <c r="K5" s="3">
        <v>0.75</v>
      </c>
      <c r="L5" s="3">
        <v>0.91666666666666663</v>
      </c>
      <c r="M5" s="18" t="str">
        <f>'[2]Apríl 26 - Sara og Katrín '!$E$6</f>
        <v xml:space="preserve">Gaukur 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/>
    </row>
    <row r="6" spans="1:25" x14ac:dyDescent="0.2">
      <c r="A6">
        <v>5</v>
      </c>
      <c r="B6" t="s">
        <v>141</v>
      </c>
      <c r="C6" t="s">
        <v>58</v>
      </c>
      <c r="D6" t="str">
        <f>_xlfn.XLOOKUP(C6,[3]EventTypes!A:A,[3]EventTypes!B:B,"")</f>
        <v>Basic</v>
      </c>
      <c r="E6">
        <f>_xlfn.XLOOKUP(C6,[3]EventTypes!A:A,[3]EventTypes!D:D,"")</f>
        <v>70</v>
      </c>
      <c r="F6" t="str">
        <f>_xlfn.XLOOKUP(C6,[3]EventTypes!A:A,[3]EventTypes!C:C,"")</f>
        <v>EB</v>
      </c>
      <c r="G6">
        <f>_xlfn.XLOOKUP(C6,[3]EventTypes!A:A,[3]EventTypes!E:E,"")</f>
        <v>1</v>
      </c>
      <c r="H6">
        <f>_xlfn.XLOOKUP(C6,[3]EventTypes!A:A,[3]EventTypes!F:F,"")</f>
        <v>4</v>
      </c>
      <c r="I6">
        <v>14</v>
      </c>
      <c r="J6" s="2">
        <v>46114</v>
      </c>
      <c r="K6" s="3">
        <v>0.79166666666666663</v>
      </c>
      <c r="L6" s="3">
        <v>0.95833333333333337</v>
      </c>
      <c r="M6" s="18" t="str" cm="1">
        <f t="array" ref="M6:X6">TRANSPOSE('[2]Apríl 26 - Sara og Katrín '!$I$3:$I$14)</f>
        <v xml:space="preserve">Jara </v>
      </c>
      <c r="N6" s="19" t="str">
        <v>Sara J</v>
      </c>
      <c r="O6" s="19" t="str">
        <v xml:space="preserve">Elmar </v>
      </c>
      <c r="P6" s="19" t="str">
        <v xml:space="preserve">Ömmi </v>
      </c>
      <c r="Q6" s="19" t="str">
        <v>Sveinn</v>
      </c>
      <c r="R6" s="19" t="str">
        <v xml:space="preserve">Sæmundur </v>
      </c>
      <c r="S6" s="19" t="str">
        <v>Erna</v>
      </c>
      <c r="T6" s="19" t="str">
        <v xml:space="preserve">Védís </v>
      </c>
      <c r="U6" s="19" t="str">
        <v xml:space="preserve">Unnar </v>
      </c>
      <c r="V6" s="19" t="str">
        <v>Margrét L</v>
      </c>
      <c r="W6" s="19" t="str">
        <v>Arnar G</v>
      </c>
      <c r="X6" s="19" t="str">
        <v xml:space="preserve">Elísabet </v>
      </c>
      <c r="Y6" s="20"/>
    </row>
    <row r="7" spans="1:25" x14ac:dyDescent="0.2">
      <c r="A7">
        <v>6</v>
      </c>
      <c r="B7" t="s">
        <v>141</v>
      </c>
      <c r="C7" t="s">
        <v>58</v>
      </c>
      <c r="D7" t="str">
        <f>_xlfn.XLOOKUP(C7,[3]EventTypes!A:A,[3]EventTypes!B:B,"")</f>
        <v>Basic</v>
      </c>
      <c r="E7">
        <f>_xlfn.XLOOKUP(C7,[3]EventTypes!A:A,[3]EventTypes!D:D,"")</f>
        <v>70</v>
      </c>
      <c r="F7" t="str">
        <f>_xlfn.XLOOKUP(C7,[3]EventTypes!A:A,[3]EventTypes!C:C,"")</f>
        <v>EB</v>
      </c>
      <c r="G7">
        <f>_xlfn.XLOOKUP(C7,[3]EventTypes!A:A,[3]EventTypes!E:E,"")</f>
        <v>1</v>
      </c>
      <c r="H7">
        <f>_xlfn.XLOOKUP(C7,[3]EventTypes!A:A,[3]EventTypes!F:F,"")</f>
        <v>4</v>
      </c>
      <c r="I7">
        <v>8</v>
      </c>
      <c r="J7" s="2">
        <v>46116</v>
      </c>
      <c r="K7" s="3">
        <v>0.79166666666666663</v>
      </c>
      <c r="L7" s="3">
        <v>0.95833333333333337</v>
      </c>
      <c r="M7" s="18" t="str" cm="1">
        <f t="array" ref="M7:S7">TRANSPOSE('[2]Apríl 26 - Sara og Katrín '!$K$3:$K$9)</f>
        <v>Arnar V</v>
      </c>
      <c r="N7" s="19" t="str">
        <v xml:space="preserve">Elmar </v>
      </c>
      <c r="O7" s="19" t="str">
        <v xml:space="preserve">Gaukur </v>
      </c>
      <c r="P7" s="19" t="str">
        <v>Gréta</v>
      </c>
      <c r="Q7" s="19" t="str">
        <v xml:space="preserve">Hólmfríður </v>
      </c>
      <c r="R7" s="19" t="str">
        <v xml:space="preserve">Magnús </v>
      </c>
      <c r="S7" s="19" t="str">
        <v>Rut</v>
      </c>
      <c r="T7" s="19"/>
      <c r="U7" s="19"/>
      <c r="V7" s="19"/>
      <c r="W7" s="19"/>
      <c r="X7" s="19"/>
      <c r="Y7" s="20"/>
    </row>
    <row r="8" spans="1:25" x14ac:dyDescent="0.2">
      <c r="A8">
        <v>7</v>
      </c>
      <c r="B8" t="s">
        <v>81</v>
      </c>
      <c r="C8" t="s">
        <v>81</v>
      </c>
      <c r="D8" t="str">
        <f>_xlfn.XLOOKUP(C8,[3]EventTypes!A:A,[3]EventTypes!B:B,"")</f>
        <v>Solo</v>
      </c>
      <c r="E8">
        <f>_xlfn.XLOOKUP(C8,[3]EventTypes!A:A,[3]EventTypes!D:D,"")</f>
        <v>90</v>
      </c>
      <c r="F8" t="str">
        <f>_xlfn.XLOOKUP(C8,[3]EventTypes!A:A,[3]EventTypes!C:C,"")</f>
        <v>BL</v>
      </c>
      <c r="G8">
        <f>_xlfn.XLOOKUP(C8,[3]EventTypes!A:A,[3]EventTypes!E:E,"")</f>
        <v>0</v>
      </c>
      <c r="H8">
        <f>_xlfn.XLOOKUP(C8,[3]EventTypes!A:A,[3]EventTypes!F:F,"")</f>
        <v>0</v>
      </c>
      <c r="I8">
        <f>_xlfn.XLOOKUP(C8,[3]EventTypes!A:A,[3]EventTypes!G:G,"")</f>
        <v>1</v>
      </c>
      <c r="J8" s="2">
        <v>46120</v>
      </c>
      <c r="K8" s="3">
        <v>0.79166666666666663</v>
      </c>
      <c r="L8" s="3">
        <v>0.91666666666666663</v>
      </c>
      <c r="M8" s="18" t="str">
        <f>'[2]Apríl 26 - Sara og Katrín '!$C$14</f>
        <v xml:space="preserve">Elmar 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</row>
    <row r="9" spans="1:25" x14ac:dyDescent="0.2">
      <c r="A9">
        <v>8</v>
      </c>
      <c r="B9" t="s">
        <v>59</v>
      </c>
      <c r="C9" t="s">
        <v>59</v>
      </c>
      <c r="D9" t="str">
        <f>_xlfn.XLOOKUP(C9,[3]EventTypes!A:A,[3]EventTypes!B:B,"")</f>
        <v>Basic</v>
      </c>
      <c r="E9">
        <f>_xlfn.XLOOKUP(C9,[3]EventTypes!A:A,[3]EventTypes!D:D,"")</f>
        <v>50</v>
      </c>
      <c r="F9" t="str">
        <f>_xlfn.XLOOKUP(C9,[3]EventTypes!A:A,[3]EventTypes!C:C,"")</f>
        <v>EB</v>
      </c>
      <c r="G9">
        <f>_xlfn.XLOOKUP(C9,[3]EventTypes!A:A,[3]EventTypes!E:E,"")</f>
        <v>1</v>
      </c>
      <c r="H9">
        <f>_xlfn.XLOOKUP(C9,[3]EventTypes!A:A,[3]EventTypes!F:F,"")</f>
        <v>3</v>
      </c>
      <c r="I9">
        <f>_xlfn.XLOOKUP(C9,[3]EventTypes!A:A,[3]EventTypes!G:G,"")</f>
        <v>11</v>
      </c>
      <c r="J9" s="2">
        <v>46121</v>
      </c>
      <c r="K9" s="3">
        <v>0.75</v>
      </c>
      <c r="L9" s="3">
        <v>0.89583333333333337</v>
      </c>
      <c r="M9" s="18" t="str" cm="1">
        <f t="array" ref="M9:W9">TRANSPOSE('[2]Apríl 26 - Sara og Katrín '!$M$3:$M$13)</f>
        <v xml:space="preserve">Þórey </v>
      </c>
      <c r="N9" s="19" t="str">
        <v xml:space="preserve">Jórunn  </v>
      </c>
      <c r="O9" s="19" t="str">
        <v>Sæmundur</v>
      </c>
      <c r="P9" s="19" t="str">
        <v>Katrín S</v>
      </c>
      <c r="Q9" s="19" t="str">
        <v xml:space="preserve">Laufey </v>
      </c>
      <c r="R9" s="19" t="str">
        <v xml:space="preserve">Magnús  </v>
      </c>
      <c r="S9" s="19" t="str">
        <v>Orri</v>
      </c>
      <c r="T9" s="19" t="str">
        <v>Sveinn</v>
      </c>
      <c r="U9" s="19" t="str">
        <v>Sara B</v>
      </c>
      <c r="V9" s="19" t="str">
        <v>Sara J</v>
      </c>
      <c r="W9" s="19" t="str">
        <v xml:space="preserve">Selma </v>
      </c>
      <c r="X9" s="19"/>
      <c r="Y9" s="20"/>
    </row>
    <row r="10" spans="1:25" x14ac:dyDescent="0.2">
      <c r="A10">
        <v>9</v>
      </c>
      <c r="B10" t="s">
        <v>59</v>
      </c>
      <c r="C10" t="s">
        <v>59</v>
      </c>
      <c r="D10" t="str">
        <f>_xlfn.XLOOKUP(C10,[3]EventTypes!A:A,[3]EventTypes!B:B,"")</f>
        <v>Basic</v>
      </c>
      <c r="E10">
        <f>_xlfn.XLOOKUP(C10,[3]EventTypes!A:A,[3]EventTypes!D:D,"")</f>
        <v>50</v>
      </c>
      <c r="F10" t="str">
        <f>_xlfn.XLOOKUP(C10,[3]EventTypes!A:A,[3]EventTypes!C:C,"")</f>
        <v>EB</v>
      </c>
      <c r="G10">
        <f>_xlfn.XLOOKUP(C10,[3]EventTypes!A:A,[3]EventTypes!E:E,"")</f>
        <v>1</v>
      </c>
      <c r="H10">
        <f>_xlfn.XLOOKUP(C10,[3]EventTypes!A:A,[3]EventTypes!F:F,"")</f>
        <v>3</v>
      </c>
      <c r="I10">
        <v>11</v>
      </c>
      <c r="J10" s="2">
        <v>46122</v>
      </c>
      <c r="K10" s="3">
        <v>0.75</v>
      </c>
      <c r="L10" s="3">
        <v>0.89583333333333337</v>
      </c>
      <c r="M10" s="18" t="str" cm="1">
        <f t="array" ref="M10:W10">TRANSPOSE('[2]Apríl 26 - Sara og Katrín '!$O$3:$O$13)</f>
        <v>Arnar V</v>
      </c>
      <c r="N10" s="19" t="str">
        <v xml:space="preserve">Sigríður </v>
      </c>
      <c r="O10" s="19" t="str">
        <v>Hrannar</v>
      </c>
      <c r="P10" s="19" t="str">
        <v>Hafnkell</v>
      </c>
      <c r="Q10" s="19" t="str">
        <v>Guðný</v>
      </c>
      <c r="R10" s="19" t="str">
        <v xml:space="preserve">Védís </v>
      </c>
      <c r="S10" s="19" t="str">
        <v xml:space="preserve">Unnar </v>
      </c>
      <c r="T10" s="19" t="str">
        <v>Ömmi</v>
      </c>
      <c r="U10" s="19" t="str">
        <v>Arnar G</v>
      </c>
      <c r="V10" s="19" t="str">
        <v>Anna S</v>
      </c>
      <c r="W10" s="19" t="str">
        <v>Elísabet</v>
      </c>
      <c r="X10" s="19"/>
      <c r="Y10" s="20"/>
    </row>
    <row r="11" spans="1:25" x14ac:dyDescent="0.2">
      <c r="A11">
        <v>10</v>
      </c>
      <c r="B11" t="s">
        <v>59</v>
      </c>
      <c r="C11" t="s">
        <v>59</v>
      </c>
      <c r="D11" t="str">
        <f>_xlfn.XLOOKUP(C11,[3]EventTypes!A:A,[3]EventTypes!B:B,"")</f>
        <v>Basic</v>
      </c>
      <c r="E11">
        <f>_xlfn.XLOOKUP(C11,[3]EventTypes!A:A,[3]EventTypes!D:D,"")</f>
        <v>50</v>
      </c>
      <c r="F11" t="str">
        <f>_xlfn.XLOOKUP(C11,[3]EventTypes!A:A,[3]EventTypes!C:C,"")</f>
        <v>EB</v>
      </c>
      <c r="G11">
        <f>_xlfn.XLOOKUP(C11,[3]EventTypes!A:A,[3]EventTypes!E:E,"")</f>
        <v>1</v>
      </c>
      <c r="H11">
        <f>_xlfn.XLOOKUP(C11,[3]EventTypes!A:A,[3]EventTypes!F:F,"")</f>
        <v>3</v>
      </c>
      <c r="I11">
        <v>12</v>
      </c>
      <c r="J11" s="2">
        <v>46123</v>
      </c>
      <c r="K11" s="3">
        <v>0.54166666666666663</v>
      </c>
      <c r="L11" s="3">
        <v>0.70833333333333337</v>
      </c>
      <c r="M11" s="18" t="str" cm="1">
        <f t="array" ref="M11:X11">TRANSPOSE('[2]Apríl 26 - Sara og Katrín '!$Q$3:$Q$14)</f>
        <v xml:space="preserve">Róbert </v>
      </c>
      <c r="N11" s="19" t="str">
        <v>Sveinn</v>
      </c>
      <c r="O11" s="19" t="str">
        <v xml:space="preserve">Arnar G </v>
      </c>
      <c r="P11" s="19" t="str">
        <v xml:space="preserve">Elmar </v>
      </c>
      <c r="Q11" s="19" t="str">
        <v xml:space="preserve">Erna </v>
      </c>
      <c r="R11" s="19" t="str">
        <v>katrín S</v>
      </c>
      <c r="S11" s="19" t="str">
        <v>Gréta</v>
      </c>
      <c r="T11" s="19" t="str">
        <v xml:space="preserve">Guðný  </v>
      </c>
      <c r="U11" s="19" t="str">
        <v>Rut</v>
      </c>
      <c r="V11" s="19" t="str">
        <v xml:space="preserve">Hrannar </v>
      </c>
      <c r="W11" s="19" t="str">
        <v xml:space="preserve">Sara J </v>
      </c>
      <c r="X11" s="19" t="str">
        <v xml:space="preserve">Jórunn  </v>
      </c>
      <c r="Y11" s="20"/>
    </row>
    <row r="12" spans="1:25" x14ac:dyDescent="0.2">
      <c r="A12">
        <v>11</v>
      </c>
      <c r="B12" t="s">
        <v>142</v>
      </c>
      <c r="C12" t="s">
        <v>143</v>
      </c>
      <c r="D12" t="str">
        <f>_xlfn.XLOOKUP(C12,[3]EventTypes!A:A,[3]EventTypes!B:B,"")</f>
        <v>Party</v>
      </c>
      <c r="E12">
        <f>_xlfn.XLOOKUP(C12,[3]EventTypes!A:A,[3]EventTypes!D:D,"")</f>
        <v>60</v>
      </c>
      <c r="F12" t="str">
        <f>_xlfn.XLOOKUP(C12,[3]EventTypes!A:A,[3]EventTypes!C:C,"")</f>
        <v>NL</v>
      </c>
      <c r="G12">
        <v>0</v>
      </c>
      <c r="H12">
        <f>_xlfn.XLOOKUP(C12,[3]EventTypes!A:A,[3]EventTypes!F:F,"")</f>
        <v>1</v>
      </c>
      <c r="I12">
        <v>2</v>
      </c>
      <c r="J12" s="2">
        <v>46123</v>
      </c>
      <c r="K12" s="3">
        <v>0.83333333333333337</v>
      </c>
      <c r="L12" s="3">
        <v>4.1666666666666664E-2</v>
      </c>
      <c r="M12" s="18" t="str" cm="1">
        <f t="array" ref="M12:N12">TRANSPOSE('[2]Apríl 26 - Sara og Katrín '!$E$9:$E$10)</f>
        <v xml:space="preserve">Þórey </v>
      </c>
      <c r="N12" s="19" t="str">
        <v>SaraB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20"/>
    </row>
    <row r="13" spans="1:25" x14ac:dyDescent="0.2">
      <c r="A13">
        <v>12</v>
      </c>
      <c r="B13" t="s">
        <v>76</v>
      </c>
      <c r="C13" t="s">
        <v>61</v>
      </c>
      <c r="D13" t="str">
        <f>_xlfn.XLOOKUP(C13,[3]EventTypes!A:A,[3]EventTypes!B:B,"")</f>
        <v>Basic</v>
      </c>
      <c r="E13">
        <f>_xlfn.XLOOKUP(C13,[3]EventTypes!A:A,[3]EventTypes!D:D,"")</f>
        <v>40</v>
      </c>
      <c r="F13" t="str">
        <f>_xlfn.XLOOKUP(C13,[3]EventTypes!A:A,[3]EventTypes!C:C,"")</f>
        <v>KL</v>
      </c>
      <c r="G13">
        <f>_xlfn.XLOOKUP(C13,[3]EventTypes!A:A,[3]EventTypes!E:E,"")</f>
        <v>0</v>
      </c>
      <c r="H13">
        <f>_xlfn.XLOOKUP(C13,[3]EventTypes!A:A,[3]EventTypes!F:F,"")</f>
        <v>1</v>
      </c>
      <c r="I13">
        <v>1</v>
      </c>
      <c r="J13" s="2">
        <v>46124</v>
      </c>
      <c r="K13" s="3">
        <v>0.54166666666666663</v>
      </c>
      <c r="L13" s="3">
        <v>0.70833333333333337</v>
      </c>
      <c r="M13" s="18" t="str">
        <f>'[2]Apríl 26 - Sara og Katrín '!$C$26</f>
        <v xml:space="preserve">Anna S 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20"/>
    </row>
    <row r="14" spans="1:25" x14ac:dyDescent="0.2">
      <c r="A14">
        <v>13</v>
      </c>
      <c r="B14" t="s">
        <v>59</v>
      </c>
      <c r="C14" t="s">
        <v>63</v>
      </c>
      <c r="D14" t="str">
        <f>_xlfn.XLOOKUP(C14,[3]EventTypes!A:A,[3]EventTypes!B:B,"")</f>
        <v>Basic</v>
      </c>
      <c r="E14">
        <f>_xlfn.XLOOKUP(C14,[3]EventTypes!A:A,[3]EventTypes!D:D,"")</f>
        <v>80</v>
      </c>
      <c r="F14" t="str">
        <f>_xlfn.XLOOKUP(C14,[3]EventTypes!A:A,[3]EventTypes!C:C,"")</f>
        <v>NL</v>
      </c>
      <c r="G14">
        <v>0</v>
      </c>
      <c r="H14">
        <f>_xlfn.XLOOKUP(C14,[3]EventTypes!A:A,[3]EventTypes!F:F,"")</f>
        <v>0</v>
      </c>
      <c r="I14">
        <v>1</v>
      </c>
      <c r="J14" s="2">
        <v>46124</v>
      </c>
      <c r="K14" s="3">
        <v>0.625</v>
      </c>
      <c r="L14" s="3">
        <v>0.79166666666666663</v>
      </c>
      <c r="M14" s="18" t="str">
        <f>'[2]Apríl 26 - Sara og Katrín '!$C$32</f>
        <v>Sæmi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/>
    </row>
    <row r="15" spans="1:25" x14ac:dyDescent="0.2">
      <c r="A15">
        <v>14</v>
      </c>
      <c r="B15" t="s">
        <v>144</v>
      </c>
      <c r="C15" t="s">
        <v>61</v>
      </c>
      <c r="D15" t="str">
        <f>_xlfn.XLOOKUP(C15,[3]EventTypes!A:A,[3]EventTypes!B:B,"")</f>
        <v>Basic</v>
      </c>
      <c r="E15">
        <f>_xlfn.XLOOKUP(C15,[3]EventTypes!A:A,[3]EventTypes!D:D,"")</f>
        <v>40</v>
      </c>
      <c r="F15" t="str">
        <f>_xlfn.XLOOKUP(C15,[3]EventTypes!A:A,[3]EventTypes!C:C,"")</f>
        <v>KL</v>
      </c>
      <c r="G15">
        <f>_xlfn.XLOOKUP(C15,[3]EventTypes!A:A,[3]EventTypes!E:E,"")</f>
        <v>0</v>
      </c>
      <c r="H15">
        <f>_xlfn.XLOOKUP(C15,[3]EventTypes!A:A,[3]EventTypes!F:F,"")</f>
        <v>1</v>
      </c>
      <c r="I15">
        <v>1</v>
      </c>
      <c r="J15" s="2">
        <v>46126</v>
      </c>
      <c r="K15" s="3">
        <v>0.79166666666666663</v>
      </c>
      <c r="L15" s="3">
        <v>0.91666666666666663</v>
      </c>
      <c r="M15" s="18" t="str">
        <f>'[2]Apríl 26 - Sara og Katrín '!$C$29</f>
        <v xml:space="preserve">Auður 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0"/>
    </row>
    <row r="16" spans="1:25" x14ac:dyDescent="0.2">
      <c r="A16">
        <v>15</v>
      </c>
      <c r="B16" t="s">
        <v>81</v>
      </c>
      <c r="C16" t="s">
        <v>81</v>
      </c>
      <c r="D16" t="str">
        <f>_xlfn.XLOOKUP(C16,[3]EventTypes!A:A,[3]EventTypes!B:B,"")</f>
        <v>Solo</v>
      </c>
      <c r="E16">
        <f>_xlfn.XLOOKUP(C16,[3]EventTypes!A:A,[3]EventTypes!D:D,"")</f>
        <v>90</v>
      </c>
      <c r="F16" t="str">
        <f>_xlfn.XLOOKUP(C16,[3]EventTypes!A:A,[3]EventTypes!C:C,"")</f>
        <v>BL</v>
      </c>
      <c r="G16">
        <f>_xlfn.XLOOKUP(C16,[3]EventTypes!A:A,[3]EventTypes!E:E,"")</f>
        <v>0</v>
      </c>
      <c r="H16">
        <f>_xlfn.XLOOKUP(C16,[3]EventTypes!A:A,[3]EventTypes!F:F,"")</f>
        <v>0</v>
      </c>
      <c r="I16">
        <f>_xlfn.XLOOKUP(C16,[3]EventTypes!A:A,[3]EventTypes!G:G,"")</f>
        <v>1</v>
      </c>
      <c r="J16" s="2">
        <v>46127</v>
      </c>
      <c r="K16" s="3">
        <v>0.79166666666666663</v>
      </c>
      <c r="L16" s="3">
        <v>0.91666666666666663</v>
      </c>
      <c r="M16" s="18" t="str">
        <f>'[2]Apríl 26 - Sara og Katrín '!$C$16</f>
        <v xml:space="preserve">Gréta 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/>
    </row>
    <row r="17" spans="1:25" x14ac:dyDescent="0.2">
      <c r="A17">
        <v>16</v>
      </c>
      <c r="B17" t="s">
        <v>145</v>
      </c>
      <c r="C17" t="s">
        <v>63</v>
      </c>
      <c r="D17" t="str">
        <f>_xlfn.XLOOKUP(C17,[3]EventTypes!A:A,[3]EventTypes!B:B,"")</f>
        <v>Basic</v>
      </c>
      <c r="E17">
        <f>_xlfn.XLOOKUP(C17,[3]EventTypes!A:A,[3]EventTypes!D:D,"")</f>
        <v>80</v>
      </c>
      <c r="F17" t="str">
        <f>_xlfn.XLOOKUP(C17,[3]EventTypes!A:A,[3]EventTypes!C:C,"")</f>
        <v>NL</v>
      </c>
      <c r="G17">
        <f>_xlfn.XLOOKUP(C17,[3]EventTypes!A:A,[3]EventTypes!E:E,"")</f>
        <v>1</v>
      </c>
      <c r="H17">
        <f>_xlfn.XLOOKUP(C17,[3]EventTypes!A:A,[3]EventTypes!F:F,"")</f>
        <v>0</v>
      </c>
      <c r="I17">
        <v>3</v>
      </c>
      <c r="J17" s="2">
        <v>46127</v>
      </c>
      <c r="K17" s="3">
        <v>0.79166666666666663</v>
      </c>
      <c r="L17" s="3">
        <v>0.91666666666666663</v>
      </c>
      <c r="M17" s="18" t="str" cm="1">
        <f t="array" ref="M17:N17">TRANSPOSE('[2]Apríl 26 - Sara og Katrín '!$E$13:$E$14)</f>
        <v xml:space="preserve">Róbert </v>
      </c>
      <c r="N17" s="19" t="str">
        <v>Hrafnkell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/>
    </row>
    <row r="18" spans="1:25" x14ac:dyDescent="0.2">
      <c r="A18">
        <v>17</v>
      </c>
      <c r="B18" t="s">
        <v>59</v>
      </c>
      <c r="C18" t="s">
        <v>59</v>
      </c>
      <c r="D18" t="str">
        <f>_xlfn.XLOOKUP(C18,[3]EventTypes!A:A,[3]EventTypes!B:B,"")</f>
        <v>Basic</v>
      </c>
      <c r="E18">
        <f>_xlfn.XLOOKUP(C18,[3]EventTypes!A:A,[3]EventTypes!D:D,"")</f>
        <v>50</v>
      </c>
      <c r="F18" t="str">
        <f>_xlfn.XLOOKUP(C18,[3]EventTypes!A:A,[3]EventTypes!C:C,"")</f>
        <v>EB</v>
      </c>
      <c r="G18">
        <f>_xlfn.XLOOKUP(C18,[3]EventTypes!A:A,[3]EventTypes!E:E,"")</f>
        <v>1</v>
      </c>
      <c r="H18">
        <f>_xlfn.XLOOKUP(C18,[3]EventTypes!A:A,[3]EventTypes!F:F,"")</f>
        <v>3</v>
      </c>
      <c r="I18">
        <f>_xlfn.XLOOKUP(C18,[3]EventTypes!A:A,[3]EventTypes!G:G,"")</f>
        <v>11</v>
      </c>
      <c r="J18" s="2">
        <v>46128</v>
      </c>
      <c r="K18" s="3">
        <v>0.77083333333333337</v>
      </c>
      <c r="L18" s="3">
        <v>0.89583333333333337</v>
      </c>
      <c r="M18" s="18" t="str" cm="1">
        <f t="array" ref="M18:W18">TRANSPOSE('[2]Apríl 26 - Sara og Katrín '!$S$3:$S$13)</f>
        <v xml:space="preserve">Jara </v>
      </c>
      <c r="N18" s="19" t="str">
        <v xml:space="preserve">Alda </v>
      </c>
      <c r="O18" s="19" t="str">
        <v xml:space="preserve">Laufey </v>
      </c>
      <c r="P18" s="19" t="str">
        <v xml:space="preserve">Magnús  </v>
      </c>
      <c r="Q18" s="19" t="str">
        <v>Sara B</v>
      </c>
      <c r="R18" s="19" t="str">
        <v xml:space="preserve">Sara J </v>
      </c>
      <c r="S18" s="19" t="str">
        <v xml:space="preserve">Elísabet </v>
      </c>
      <c r="T18" s="19" t="str">
        <v>Ömmi</v>
      </c>
      <c r="U18" s="19" t="str">
        <v xml:space="preserve">Védís </v>
      </c>
      <c r="V18" s="19" t="str">
        <v xml:space="preserve">Katrín S </v>
      </c>
      <c r="W18" s="19" t="str">
        <v xml:space="preserve">Hrannar </v>
      </c>
      <c r="X18" s="19"/>
      <c r="Y18" s="20"/>
    </row>
    <row r="19" spans="1:25" s="8" customFormat="1" x14ac:dyDescent="0.2">
      <c r="A19">
        <v>18</v>
      </c>
      <c r="B19" s="8" t="s">
        <v>146</v>
      </c>
      <c r="C19" s="8" t="s">
        <v>58</v>
      </c>
      <c r="D19" s="8" t="str">
        <f>_xlfn.XLOOKUP(C19,[3]EventTypes!A:A,[3]EventTypes!B:B,"")</f>
        <v>Basic</v>
      </c>
      <c r="E19" s="8">
        <f>_xlfn.XLOOKUP(C19,[3]EventTypes!A:A,[3]EventTypes!D:D,"")</f>
        <v>70</v>
      </c>
      <c r="F19" s="8" t="str">
        <f>_xlfn.XLOOKUP(C19,[3]EventTypes!A:A,[3]EventTypes!C:C,"")</f>
        <v>EB</v>
      </c>
      <c r="G19" s="8">
        <f>_xlfn.XLOOKUP(C19,[3]EventTypes!A:A,[3]EventTypes!E:E,"")</f>
        <v>1</v>
      </c>
      <c r="H19" s="8">
        <f>_xlfn.XLOOKUP(C19,[3]EventTypes!A:A,[3]EventTypes!F:F,"")</f>
        <v>4</v>
      </c>
      <c r="I19" s="8">
        <v>6</v>
      </c>
      <c r="J19" s="9">
        <v>46129</v>
      </c>
      <c r="K19" s="10">
        <v>0.79166666666666663</v>
      </c>
      <c r="L19" s="10">
        <v>0</v>
      </c>
      <c r="M19" s="18" t="str" cm="1">
        <f t="array" ref="M19:R19">TRANSPOSE('[2]Apríl 26 - Sara og Katrín '!$U$3:$U$8)</f>
        <v xml:space="preserve">Þórey </v>
      </c>
      <c r="N19" s="19" t="str">
        <v>Sveinn</v>
      </c>
      <c r="O19" s="19" t="str">
        <v xml:space="preserve">Alda </v>
      </c>
      <c r="P19" s="19" t="str">
        <v xml:space="preserve">Arnar G </v>
      </c>
      <c r="Q19" s="19" t="str">
        <v xml:space="preserve">Auður </v>
      </c>
      <c r="R19" s="19" t="str">
        <v xml:space="preserve">Unnar </v>
      </c>
      <c r="S19" s="19"/>
      <c r="T19" s="19"/>
      <c r="U19" s="19"/>
      <c r="V19" s="19"/>
      <c r="W19" s="19"/>
      <c r="X19" s="19"/>
      <c r="Y19" s="20"/>
    </row>
    <row r="20" spans="1:25" x14ac:dyDescent="0.2">
      <c r="A20">
        <v>19</v>
      </c>
      <c r="B20" t="s">
        <v>147</v>
      </c>
      <c r="C20" t="s">
        <v>58</v>
      </c>
      <c r="D20" t="str">
        <f>_xlfn.XLOOKUP(C20,[3]EventTypes!A:A,[3]EventTypes!B:B,"")</f>
        <v>Basic</v>
      </c>
      <c r="E20">
        <f>_xlfn.XLOOKUP(C20,[3]EventTypes!A:A,[3]EventTypes!D:D,"")</f>
        <v>70</v>
      </c>
      <c r="F20" t="str">
        <f>_xlfn.XLOOKUP(C20,[3]EventTypes!A:A,[3]EventTypes!C:C,"")</f>
        <v>EB</v>
      </c>
      <c r="G20">
        <f>_xlfn.XLOOKUP(C20,[3]EventTypes!A:A,[3]EventTypes!E:E,"")</f>
        <v>1</v>
      </c>
      <c r="H20">
        <f>_xlfn.XLOOKUP(C20,[3]EventTypes!A:A,[3]EventTypes!F:F,"")</f>
        <v>4</v>
      </c>
      <c r="I20">
        <v>10</v>
      </c>
      <c r="J20" s="2">
        <v>46130</v>
      </c>
      <c r="K20" s="3">
        <v>0.47916666666666669</v>
      </c>
      <c r="L20" s="3">
        <v>0.70833333333333337</v>
      </c>
      <c r="M20" s="18" t="str" cm="1">
        <f t="array" ref="M20:T20">TRANSPOSE('[2]Apríl 26 - Sara og Katrín '!$W$3:$W$10)</f>
        <v>Arnar V</v>
      </c>
      <c r="N20" s="19" t="str">
        <v xml:space="preserve">Selma </v>
      </c>
      <c r="O20" s="19" t="str">
        <v>Anna S</v>
      </c>
      <c r="P20" s="19" t="str">
        <v xml:space="preserve">Hófý </v>
      </c>
      <c r="Q20" s="19" t="str">
        <v xml:space="preserve">Elísabet </v>
      </c>
      <c r="R20" s="19" t="str">
        <v>Sæmi</v>
      </c>
      <c r="S20" s="19" t="str">
        <v xml:space="preserve">Valdís </v>
      </c>
      <c r="T20" s="19" t="str">
        <v xml:space="preserve">Alda </v>
      </c>
      <c r="U20" s="19"/>
      <c r="V20" s="19"/>
      <c r="W20" s="19"/>
      <c r="X20" s="19"/>
      <c r="Y20" s="20"/>
    </row>
    <row r="21" spans="1:25" x14ac:dyDescent="0.2">
      <c r="A21">
        <v>20</v>
      </c>
      <c r="B21" t="s">
        <v>148</v>
      </c>
      <c r="C21" t="s">
        <v>63</v>
      </c>
      <c r="D21" t="str">
        <f>_xlfn.XLOOKUP(C21,[3]EventTypes!A:A,[3]EventTypes!B:B,"")</f>
        <v>Basic</v>
      </c>
      <c r="E21">
        <f>_xlfn.XLOOKUP(C21,[3]EventTypes!A:A,[3]EventTypes!D:D,"")</f>
        <v>80</v>
      </c>
      <c r="F21" t="str">
        <f>_xlfn.XLOOKUP(C21,[3]EventTypes!A:A,[3]EventTypes!C:C,"")</f>
        <v>NL</v>
      </c>
      <c r="G21">
        <v>0</v>
      </c>
      <c r="H21">
        <f>_xlfn.XLOOKUP(C21,[3]EventTypes!A:A,[3]EventTypes!F:F,"")</f>
        <v>0</v>
      </c>
      <c r="I21">
        <v>2</v>
      </c>
      <c r="J21" s="2">
        <v>46131</v>
      </c>
      <c r="K21" s="3">
        <v>0.625</v>
      </c>
      <c r="L21" s="3">
        <v>0.79166666666666663</v>
      </c>
      <c r="M21" s="18" t="str" cm="1">
        <f t="array" ref="M21:N21">TRANSPOSE('[2]Apríl 26 - Sara og Katrín '!$C$35:$C$36)</f>
        <v xml:space="preserve">Unnar </v>
      </c>
      <c r="N21" s="19" t="str">
        <v xml:space="preserve">Sigríður 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20"/>
    </row>
    <row r="22" spans="1:25" x14ac:dyDescent="0.2">
      <c r="A22">
        <v>21</v>
      </c>
      <c r="B22" t="s">
        <v>149</v>
      </c>
      <c r="C22" t="s">
        <v>58</v>
      </c>
      <c r="D22" t="str">
        <f>_xlfn.XLOOKUP(C22,[3]EventTypes!A:A,[3]EventTypes!B:B,"")</f>
        <v>Basic</v>
      </c>
      <c r="E22">
        <f>_xlfn.XLOOKUP(C22,[3]EventTypes!A:A,[3]EventTypes!D:D,"")</f>
        <v>70</v>
      </c>
      <c r="F22" t="str">
        <f>_xlfn.XLOOKUP(C22,[3]EventTypes!A:A,[3]EventTypes!C:C,"")</f>
        <v>EB</v>
      </c>
      <c r="G22">
        <f>_xlfn.XLOOKUP(C22,[3]EventTypes!A:A,[3]EventTypes!E:E,"")</f>
        <v>1</v>
      </c>
      <c r="H22">
        <f>_xlfn.XLOOKUP(C22,[3]EventTypes!A:A,[3]EventTypes!F:F,"")</f>
        <v>4</v>
      </c>
      <c r="I22">
        <v>12</v>
      </c>
      <c r="J22" s="2">
        <v>46131</v>
      </c>
      <c r="K22" s="3">
        <v>0.58333333333333337</v>
      </c>
      <c r="L22" s="3">
        <v>0.75</v>
      </c>
      <c r="M22" s="18" t="str" cm="1">
        <f t="array" ref="M22:X22">TRANSPOSE('[2]Apríl 26 - Sara og Katrín '!$K$20:$K$31)</f>
        <v xml:space="preserve">Róbert </v>
      </c>
      <c r="N22" s="19" t="str">
        <v xml:space="preserve">Elmar </v>
      </c>
      <c r="O22" s="19" t="str">
        <v xml:space="preserve">Erna </v>
      </c>
      <c r="P22" s="19" t="str">
        <v xml:space="preserve">Selma </v>
      </c>
      <c r="Q22" s="19" t="str">
        <v>Hrafnkell</v>
      </c>
      <c r="R22" s="19" t="str">
        <v xml:space="preserve">Sara B </v>
      </c>
      <c r="S22" s="19" t="str">
        <v>Katrín S</v>
      </c>
      <c r="T22" s="19" t="str">
        <v xml:space="preserve">Jórunn </v>
      </c>
      <c r="U22" s="19" t="str">
        <v xml:space="preserve">Védís </v>
      </c>
      <c r="V22" s="19" t="str">
        <v xml:space="preserve">Ömmi </v>
      </c>
      <c r="W22" s="19" t="str">
        <v xml:space="preserve">Magnús  </v>
      </c>
      <c r="X22" s="19" t="str">
        <v xml:space="preserve">Jara </v>
      </c>
      <c r="Y22" s="20"/>
    </row>
    <row r="23" spans="1:25" x14ac:dyDescent="0.2">
      <c r="A23">
        <v>22</v>
      </c>
      <c r="B23" t="s">
        <v>150</v>
      </c>
      <c r="C23" t="s">
        <v>63</v>
      </c>
      <c r="D23" t="str">
        <f>_xlfn.XLOOKUP(C23,[3]EventTypes!A:A,[3]EventTypes!B:B,"")</f>
        <v>Basic</v>
      </c>
      <c r="E23">
        <f>_xlfn.XLOOKUP(C23,[3]EventTypes!A:A,[3]EventTypes!D:D,"")</f>
        <v>80</v>
      </c>
      <c r="F23" t="str">
        <f>_xlfn.XLOOKUP(C23,[3]EventTypes!A:A,[3]EventTypes!C:C,"")</f>
        <v>NL</v>
      </c>
      <c r="G23">
        <v>0</v>
      </c>
      <c r="H23">
        <f>_xlfn.XLOOKUP(C23,[3]EventTypes!A:A,[3]EventTypes!F:F,"")</f>
        <v>0</v>
      </c>
      <c r="I23">
        <v>1</v>
      </c>
      <c r="J23" s="2">
        <v>46134</v>
      </c>
      <c r="K23" s="3">
        <v>0.66666666666666663</v>
      </c>
      <c r="L23" s="3">
        <v>0.83333333333333337</v>
      </c>
      <c r="M23" s="18" t="str">
        <f>'[2]Apríl 26 - Sara og Katrín '!$E$23</f>
        <v xml:space="preserve">Erna 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20"/>
    </row>
    <row r="24" spans="1:25" x14ac:dyDescent="0.2">
      <c r="A24">
        <v>23</v>
      </c>
      <c r="B24" t="s">
        <v>151</v>
      </c>
      <c r="C24" t="s">
        <v>63</v>
      </c>
      <c r="D24" t="str">
        <f>_xlfn.XLOOKUP(C24,[3]EventTypes!A:A,[3]EventTypes!B:B,"")</f>
        <v>Basic</v>
      </c>
      <c r="E24">
        <f>_xlfn.XLOOKUP(C24,[3]EventTypes!A:A,[3]EventTypes!D:D,"")</f>
        <v>80</v>
      </c>
      <c r="F24" t="str">
        <f>_xlfn.XLOOKUP(C24,[3]EventTypes!A:A,[3]EventTypes!C:C,"")</f>
        <v>NL</v>
      </c>
      <c r="G24">
        <v>0</v>
      </c>
      <c r="H24">
        <f>_xlfn.XLOOKUP(C24,[3]EventTypes!A:A,[3]EventTypes!F:F,"")</f>
        <v>0</v>
      </c>
      <c r="I24">
        <v>2</v>
      </c>
      <c r="J24" s="2">
        <v>46137</v>
      </c>
      <c r="K24" s="3">
        <v>0.79166666666666663</v>
      </c>
      <c r="L24" s="3">
        <v>0.95833333333333337</v>
      </c>
      <c r="M24" s="18" t="str" cm="1">
        <f t="array" ref="M24:N24">TRANSPOSE('[2]Apríl 26 - Sara og Katrín '!$E$34:$E$35)</f>
        <v xml:space="preserve">Védís </v>
      </c>
      <c r="N24" s="19" t="str">
        <v xml:space="preserve">Elísabet 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20"/>
    </row>
    <row r="25" spans="1:25" x14ac:dyDescent="0.2">
      <c r="A25">
        <v>24</v>
      </c>
      <c r="B25" t="s">
        <v>152</v>
      </c>
      <c r="C25" t="s">
        <v>63</v>
      </c>
      <c r="D25" t="str">
        <f>_xlfn.XLOOKUP(C25,[3]EventTypes!A:A,[3]EventTypes!B:B,"")</f>
        <v>Basic</v>
      </c>
      <c r="E25">
        <f>_xlfn.XLOOKUP(C25,[3]EventTypes!A:A,[3]EventTypes!D:D,"")</f>
        <v>80</v>
      </c>
      <c r="F25" t="str">
        <f>_xlfn.XLOOKUP(C25,[3]EventTypes!A:A,[3]EventTypes!C:C,"")</f>
        <v>NL</v>
      </c>
      <c r="G25">
        <v>0</v>
      </c>
      <c r="H25">
        <f>_xlfn.XLOOKUP(C25,[3]EventTypes!A:A,[3]EventTypes!F:F,"")</f>
        <v>0</v>
      </c>
      <c r="I25">
        <v>2</v>
      </c>
      <c r="J25" s="2">
        <v>46141</v>
      </c>
      <c r="K25" s="3">
        <v>0.79166666666666663</v>
      </c>
      <c r="L25" s="3">
        <v>0.91666666666666663</v>
      </c>
      <c r="M25" s="18" t="str" cm="1">
        <f t="array" ref="M25:N25">TRANSPOSE('[2]Apríl 26 - Sara og Katrín '!$E$38:$E$39)</f>
        <v xml:space="preserve">Elmar </v>
      </c>
      <c r="N25" s="19" t="str">
        <v xml:space="preserve">Hófý 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0"/>
    </row>
    <row r="26" spans="1:25" x14ac:dyDescent="0.2">
      <c r="A26">
        <v>25</v>
      </c>
      <c r="B26" t="s">
        <v>152</v>
      </c>
      <c r="C26" t="s">
        <v>63</v>
      </c>
      <c r="D26" t="str">
        <f>_xlfn.XLOOKUP(C26,[3]EventTypes!A:A,[3]EventTypes!B:B,"")</f>
        <v>Basic</v>
      </c>
      <c r="E26">
        <f>_xlfn.XLOOKUP(C26,[3]EventTypes!A:A,[3]EventTypes!D:D,"")</f>
        <v>80</v>
      </c>
      <c r="F26" t="str">
        <f>_xlfn.XLOOKUP(C26,[3]EventTypes!A:A,[3]EventTypes!C:C,"")</f>
        <v>NL</v>
      </c>
      <c r="G26">
        <v>0</v>
      </c>
      <c r="H26">
        <f>_xlfn.XLOOKUP(C26,[3]EventTypes!A:A,[3]EventTypes!F:F,"")</f>
        <v>0</v>
      </c>
      <c r="I26">
        <v>2</v>
      </c>
      <c r="J26" s="2">
        <v>46142</v>
      </c>
      <c r="K26" s="3">
        <v>0.79166666666666663</v>
      </c>
      <c r="L26" s="3">
        <v>0.91666666666666663</v>
      </c>
      <c r="M26" s="18" t="str" cm="1">
        <f t="array" ref="M26:N26">TRANSPOSE('[2]Apríl 26 - Sara og Katrín '!$E$41:$E$42)</f>
        <v xml:space="preserve">Hrafnkell </v>
      </c>
      <c r="N26" s="19" t="str">
        <v>Ömmi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/>
    </row>
    <row r="27" spans="1:25" x14ac:dyDescent="0.2">
      <c r="A27">
        <v>26</v>
      </c>
      <c r="B27" t="s">
        <v>77</v>
      </c>
      <c r="C27" t="s">
        <v>78</v>
      </c>
      <c r="D27" t="str">
        <f>_xlfn.XLOOKUP(C27,[3]EventTypes!A:A,[3]EventTypes!B:B,"")</f>
        <v>Solo</v>
      </c>
      <c r="E27">
        <f>_xlfn.XLOOKUP(C27,[3]EventTypes!A:A,[3]EventTypes!D:D,"")</f>
        <v>100</v>
      </c>
      <c r="F27" t="str">
        <f>_xlfn.XLOOKUP(C27,[3]EventTypes!A:A,[3]EventTypes!C:C,"")</f>
        <v>KL</v>
      </c>
      <c r="G27">
        <f>_xlfn.XLOOKUP(C27,[3]EventTypes!A:A,[3]EventTypes!E:E,"")</f>
        <v>0</v>
      </c>
      <c r="H27">
        <f>_xlfn.XLOOKUP(C27,[3]EventTypes!A:A,[3]EventTypes!F:F,"")</f>
        <v>0</v>
      </c>
      <c r="I27">
        <v>1</v>
      </c>
      <c r="J27" s="2">
        <v>46137</v>
      </c>
      <c r="K27" s="3">
        <v>0.75</v>
      </c>
      <c r="L27" s="3">
        <v>0.91666666666666663</v>
      </c>
      <c r="M27" s="18" t="str">
        <f>'[2]Apríl 26 - Sara og Katrín '!$C$3</f>
        <v xml:space="preserve">Valdís 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20"/>
    </row>
    <row r="28" spans="1:25" x14ac:dyDescent="0.2">
      <c r="A28">
        <v>27</v>
      </c>
      <c r="B28" t="s">
        <v>85</v>
      </c>
      <c r="C28" t="s">
        <v>80</v>
      </c>
      <c r="D28" t="str">
        <f>_xlfn.XLOOKUP(C28,[3]EventTypes!A:A,[3]EventTypes!B:B,"")</f>
        <v>Barna</v>
      </c>
      <c r="E28">
        <f>_xlfn.XLOOKUP(C28,[3]EventTypes!A:A,[3]EventTypes!D:D,"")</f>
        <v>80</v>
      </c>
      <c r="F28" t="str">
        <f>_xlfn.XLOOKUP(C28,[3]EventTypes!A:A,[3]EventTypes!C:C,"")</f>
        <v>KL</v>
      </c>
      <c r="G28">
        <f>_xlfn.XLOOKUP(C28,[3]EventTypes!A:A,[3]EventTypes!E:E,"")</f>
        <v>0</v>
      </c>
      <c r="H28">
        <f>_xlfn.XLOOKUP(C28,[3]EventTypes!A:A,[3]EventTypes!F:F,"")</f>
        <v>1</v>
      </c>
      <c r="I28">
        <v>2</v>
      </c>
      <c r="J28" s="2">
        <v>46137</v>
      </c>
      <c r="K28" s="3">
        <v>0.5</v>
      </c>
      <c r="L28" s="3">
        <v>0.66666666666666663</v>
      </c>
      <c r="M28" s="18" t="str" cm="1">
        <f t="array" ref="M28:N28">TRANSPOSE('[2]Apríl 26 - Sara og Katrín '!$C$6:$C$7)</f>
        <v xml:space="preserve">Þórey </v>
      </c>
      <c r="N28" s="19" t="str">
        <v xml:space="preserve">Erna 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20"/>
    </row>
    <row r="29" spans="1:25" x14ac:dyDescent="0.2">
      <c r="A29">
        <v>28</v>
      </c>
      <c r="B29" t="s">
        <v>81</v>
      </c>
      <c r="C29" t="s">
        <v>81</v>
      </c>
      <c r="D29" t="str">
        <f>_xlfn.XLOOKUP(C29,[3]EventTypes!A:A,[3]EventTypes!B:B,"")</f>
        <v>Solo</v>
      </c>
      <c r="E29">
        <f>_xlfn.XLOOKUP(C29,[3]EventTypes!A:A,[3]EventTypes!D:D,"")</f>
        <v>90</v>
      </c>
      <c r="F29" t="str">
        <f>_xlfn.XLOOKUP(C29,[3]EventTypes!A:A,[3]EventTypes!C:C,"")</f>
        <v>BL</v>
      </c>
      <c r="G29">
        <f>_xlfn.XLOOKUP(C29,[3]EventTypes!A:A,[3]EventTypes!E:E,"")</f>
        <v>0</v>
      </c>
      <c r="H29">
        <f>_xlfn.XLOOKUP(C29,[3]EventTypes!A:A,[3]EventTypes!F:F,"")</f>
        <v>0</v>
      </c>
      <c r="I29">
        <v>1</v>
      </c>
      <c r="J29" s="2">
        <v>46134</v>
      </c>
      <c r="K29" s="3">
        <v>0.79166666666666663</v>
      </c>
      <c r="L29" s="3">
        <v>0.91666666666666663</v>
      </c>
      <c r="M29" s="18" t="str">
        <f>'[2]Apríl 26 - Sara og Katrín '!$C$18</f>
        <v xml:space="preserve">Elmar 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20"/>
    </row>
    <row r="30" spans="1:25" x14ac:dyDescent="0.2">
      <c r="A30">
        <v>29</v>
      </c>
      <c r="B30" t="s">
        <v>81</v>
      </c>
      <c r="C30" t="s">
        <v>81</v>
      </c>
      <c r="D30" t="str">
        <f>_xlfn.XLOOKUP(C30,[3]EventTypes!A:A,[3]EventTypes!B:B,"")</f>
        <v>Solo</v>
      </c>
      <c r="E30">
        <f>_xlfn.XLOOKUP(C30,[3]EventTypes!A:A,[3]EventTypes!D:D,"")</f>
        <v>90</v>
      </c>
      <c r="F30" t="str">
        <f>_xlfn.XLOOKUP(C30,[3]EventTypes!A:A,[3]EventTypes!C:C,"")</f>
        <v>BL</v>
      </c>
      <c r="G30">
        <f>_xlfn.XLOOKUP(C30,[3]EventTypes!A:A,[3]EventTypes!E:E,"")</f>
        <v>0</v>
      </c>
      <c r="H30">
        <f>_xlfn.XLOOKUP(C30,[3]EventTypes!A:A,[3]EventTypes!F:F,"")</f>
        <v>0</v>
      </c>
      <c r="I30">
        <v>1</v>
      </c>
      <c r="J30" s="2">
        <v>46141</v>
      </c>
      <c r="K30" s="3">
        <v>0.79166666666666663</v>
      </c>
      <c r="L30" s="3">
        <v>0.91666666666666663</v>
      </c>
      <c r="M30" s="18" t="str">
        <f>'[2]Apríl 26 - Sara og Katrín '!$C$20</f>
        <v>Hrafnkell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20"/>
    </row>
    <row r="31" spans="1:25" x14ac:dyDescent="0.2">
      <c r="A31">
        <v>30</v>
      </c>
      <c r="B31" t="s">
        <v>153</v>
      </c>
      <c r="C31" t="s">
        <v>61</v>
      </c>
      <c r="D31" t="str">
        <f>_xlfn.XLOOKUP(C31,[3]EventTypes!A:A,[3]EventTypes!B:B,"")</f>
        <v>Basic</v>
      </c>
      <c r="E31">
        <f>_xlfn.XLOOKUP(C31,[3]EventTypes!A:A,[3]EventTypes!D:D,"")</f>
        <v>40</v>
      </c>
      <c r="F31" t="str">
        <f>_xlfn.XLOOKUP(C31,[3]EventTypes!A:A,[3]EventTypes!C:C,"")</f>
        <v>KL</v>
      </c>
      <c r="G31">
        <f>_xlfn.XLOOKUP(C31,[3]EventTypes!A:A,[3]EventTypes!E:E,"")</f>
        <v>0</v>
      </c>
      <c r="H31">
        <f>_xlfn.XLOOKUP(C31,[3]EventTypes!A:A,[3]EventTypes!F:F,"")</f>
        <v>1</v>
      </c>
      <c r="I31">
        <v>1</v>
      </c>
      <c r="J31" s="2">
        <v>46142</v>
      </c>
      <c r="K31" s="3">
        <v>0.79166666666666663</v>
      </c>
      <c r="L31" s="3">
        <v>0.91666666666666663</v>
      </c>
      <c r="M31" s="18" t="str">
        <f>'[2]Apríl 26 - Sara og Katrín '!$E$44</f>
        <v>Arnar G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20"/>
    </row>
    <row r="32" spans="1:25" x14ac:dyDescent="0.2">
      <c r="A32">
        <v>31</v>
      </c>
      <c r="B32" t="s">
        <v>59</v>
      </c>
      <c r="C32" t="s">
        <v>59</v>
      </c>
      <c r="D32" t="str">
        <f>_xlfn.XLOOKUP(C32,[3]EventTypes!A:A,[3]EventTypes!B:B,"")</f>
        <v>Basic</v>
      </c>
      <c r="E32">
        <f>_xlfn.XLOOKUP(C32,[3]EventTypes!A:A,[3]EventTypes!D:D,"")</f>
        <v>50</v>
      </c>
      <c r="F32" t="str">
        <f>_xlfn.XLOOKUP(C32,[3]EventTypes!A:A,[3]EventTypes!C:C,"")</f>
        <v>EB</v>
      </c>
      <c r="G32">
        <f>_xlfn.XLOOKUP(C32,[3]EventTypes!A:A,[3]EventTypes!E:E,"")</f>
        <v>1</v>
      </c>
      <c r="H32">
        <f>_xlfn.XLOOKUP(C32,[3]EventTypes!A:A,[3]EventTypes!F:F,"")</f>
        <v>3</v>
      </c>
      <c r="I32">
        <v>7</v>
      </c>
      <c r="J32" s="2">
        <v>46136</v>
      </c>
      <c r="K32" s="3">
        <v>0.77083333333333337</v>
      </c>
      <c r="L32" s="3">
        <v>0.89583333333333337</v>
      </c>
      <c r="M32" s="18" t="str" cm="1">
        <f t="array" ref="M32:S32">TRANSPOSE('[2]Apríl 26 - Sara og Katrín '!$Q$20:$Q$26)</f>
        <v xml:space="preserve">Þórey </v>
      </c>
      <c r="N32" s="19" t="str">
        <v>Alda</v>
      </c>
      <c r="O32" s="19" t="str">
        <v xml:space="preserve">Elísabet </v>
      </c>
      <c r="P32" s="19" t="str">
        <v xml:space="preserve">Erna </v>
      </c>
      <c r="Q32" s="19" t="str">
        <v>Gréta</v>
      </c>
      <c r="R32" s="19" t="str">
        <v xml:space="preserve">Guðný  </v>
      </c>
      <c r="S32" s="19" t="str">
        <v xml:space="preserve">Hófý  </v>
      </c>
      <c r="T32" s="19"/>
      <c r="U32" s="19"/>
      <c r="V32" s="19"/>
      <c r="W32" s="19"/>
      <c r="X32" s="19"/>
      <c r="Y32" s="20"/>
    </row>
    <row r="33" spans="1:25" x14ac:dyDescent="0.2">
      <c r="A33">
        <v>32</v>
      </c>
      <c r="B33" t="s">
        <v>154</v>
      </c>
      <c r="C33" t="s">
        <v>65</v>
      </c>
      <c r="D33" t="str">
        <f>_xlfn.XLOOKUP(C33,[3]EventTypes!A:A,[3]EventTypes!B:B,"")</f>
        <v>Party</v>
      </c>
      <c r="E33">
        <f>_xlfn.XLOOKUP(C33,[3]EventTypes!A:A,[3]EventTypes!D:D,"")</f>
        <v>50</v>
      </c>
      <c r="F33" t="str">
        <f>_xlfn.XLOOKUP(C33,[3]EventTypes!A:A,[3]EventTypes!C:C,"")</f>
        <v>EB</v>
      </c>
      <c r="G33">
        <f>_xlfn.XLOOKUP(C33,[3]EventTypes!A:A,[3]EventTypes!E:E,"")</f>
        <v>1</v>
      </c>
      <c r="H33">
        <f>_xlfn.XLOOKUP(C33,[3]EventTypes!A:A,[3]EventTypes!F:F,"")</f>
        <v>6</v>
      </c>
      <c r="I33">
        <v>12</v>
      </c>
      <c r="J33" s="2">
        <v>46137</v>
      </c>
      <c r="K33" s="3">
        <v>0.83333333333333337</v>
      </c>
      <c r="L33" s="3">
        <v>0</v>
      </c>
      <c r="M33" s="18" t="str" cm="1">
        <f t="array" ref="M33:X33">TRANSPOSE('[2]Apríl 26 - Sara og Katrín '!$S$20:$S$31)</f>
        <v xml:space="preserve">Jara </v>
      </c>
      <c r="N33" s="19" t="str">
        <v>Rut</v>
      </c>
      <c r="O33" s="19" t="str">
        <v>Hrafnkell</v>
      </c>
      <c r="P33" s="19" t="str">
        <v xml:space="preserve">Hrannar </v>
      </c>
      <c r="Q33" s="19" t="str">
        <v xml:space="preserve">Jórunn  </v>
      </c>
      <c r="R33" s="19" t="str">
        <v xml:space="preserve">Magnús  </v>
      </c>
      <c r="S33" s="19" t="str">
        <v>Sara B</v>
      </c>
      <c r="T33" s="19" t="str">
        <v xml:space="preserve">Sara Júlía </v>
      </c>
      <c r="U33" s="19" t="str">
        <v xml:space="preserve">Sigríður </v>
      </c>
      <c r="V33" s="19" t="str">
        <v xml:space="preserve">Arnar G </v>
      </c>
      <c r="W33" s="19" t="str">
        <v xml:space="preserve">Ömmi </v>
      </c>
      <c r="X33" s="19" t="str">
        <v xml:space="preserve">Katrín H </v>
      </c>
      <c r="Y33" s="20"/>
    </row>
    <row r="34" spans="1:25" x14ac:dyDescent="0.2">
      <c r="A34">
        <v>33</v>
      </c>
      <c r="B34" t="s">
        <v>155</v>
      </c>
      <c r="C34" t="s">
        <v>58</v>
      </c>
      <c r="D34" t="str">
        <f>_xlfn.XLOOKUP(C34,[3]EventTypes!A:A,[3]EventTypes!B:B,"")</f>
        <v>Basic</v>
      </c>
      <c r="E34">
        <f>_xlfn.XLOOKUP(C34,[3]EventTypes!A:A,[3]EventTypes!D:D,"")</f>
        <v>70</v>
      </c>
      <c r="F34" t="str">
        <f>_xlfn.XLOOKUP(C34,[3]EventTypes!A:A,[3]EventTypes!C:C,"")</f>
        <v>EB</v>
      </c>
      <c r="G34">
        <v>1</v>
      </c>
      <c r="H34">
        <f>_xlfn.XLOOKUP(C34,[3]EventTypes!A:A,[3]EventTypes!F:F,"")</f>
        <v>4</v>
      </c>
      <c r="I34">
        <v>8</v>
      </c>
      <c r="J34" s="2">
        <v>46138</v>
      </c>
      <c r="K34" s="3">
        <v>0.66666666666666663</v>
      </c>
      <c r="L34" s="3">
        <v>0.83333333333333337</v>
      </c>
      <c r="M34" s="18" t="str" cm="1">
        <f t="array" ref="M34:T34">TRANSPOSE('[2]Apríl 26 - Sara og Katrín '!$U$20:$U$27)</f>
        <v xml:space="preserve">Arnar </v>
      </c>
      <c r="N34" s="19" t="str">
        <v xml:space="preserve">Katrín S </v>
      </c>
      <c r="O34" s="19" t="str">
        <v xml:space="preserve">Elísabet </v>
      </c>
      <c r="P34" s="19" t="str">
        <v xml:space="preserve">Erna </v>
      </c>
      <c r="Q34" s="19" t="str">
        <v xml:space="preserve">Guðný </v>
      </c>
      <c r="R34" s="19" t="str">
        <v xml:space="preserve">Hófý </v>
      </c>
      <c r="S34" s="19" t="str">
        <v xml:space="preserve">Védís </v>
      </c>
      <c r="T34" s="19" t="str">
        <v xml:space="preserve">Unnar </v>
      </c>
      <c r="U34" s="19"/>
      <c r="V34" s="19"/>
      <c r="W34" s="19"/>
      <c r="X34" s="19"/>
      <c r="Y34" s="20"/>
    </row>
    <row r="35" spans="1:25" x14ac:dyDescent="0.2">
      <c r="A35">
        <v>34</v>
      </c>
      <c r="B35" t="s">
        <v>59</v>
      </c>
      <c r="C35" t="s">
        <v>59</v>
      </c>
      <c r="D35" t="str">
        <f>_xlfn.XLOOKUP(C35,[3]EventTypes!A:A,[3]EventTypes!B:B,"")</f>
        <v>Basic</v>
      </c>
      <c r="E35">
        <f>_xlfn.XLOOKUP(C35,[3]EventTypes!A:A,[3]EventTypes!D:D,"")</f>
        <v>50</v>
      </c>
      <c r="F35" t="str">
        <f>_xlfn.XLOOKUP(C35,[3]EventTypes!A:A,[3]EventTypes!C:C,"")</f>
        <v>EB</v>
      </c>
      <c r="G35">
        <f>_xlfn.XLOOKUP(C35,[3]EventTypes!A:A,[3]EventTypes!E:E,"")</f>
        <v>1</v>
      </c>
      <c r="H35">
        <f>_xlfn.XLOOKUP(C35,[3]EventTypes!A:A,[3]EventTypes!F:F,"")</f>
        <v>3</v>
      </c>
      <c r="I35">
        <v>11</v>
      </c>
      <c r="J35" s="2">
        <v>46142</v>
      </c>
      <c r="K35" s="3">
        <v>0.77083333333333337</v>
      </c>
      <c r="L35" s="3">
        <v>0.89583333333333337</v>
      </c>
      <c r="M35" s="18" t="str" cm="1">
        <f t="array" ref="M35:W35">TRANSPOSE('[2]Apríl 26 - Sara og Katrín '!$W$20:$W$30)</f>
        <v xml:space="preserve">Róbert </v>
      </c>
      <c r="N35" s="19" t="str">
        <v xml:space="preserve">Hrannar </v>
      </c>
      <c r="O35" s="19" t="str">
        <v xml:space="preserve">Jórunn  </v>
      </c>
      <c r="P35" s="19" t="str">
        <v>Katrín H</v>
      </c>
      <c r="Q35" s="19" t="str">
        <v>Katrín S</v>
      </c>
      <c r="R35" s="19" t="str">
        <v xml:space="preserve">Védís </v>
      </c>
      <c r="S35" s="19" t="str">
        <v>Sara B</v>
      </c>
      <c r="T35" s="19" t="str">
        <v>Sara J</v>
      </c>
      <c r="U35" s="19" t="str">
        <v xml:space="preserve">Selma </v>
      </c>
      <c r="V35" s="19" t="str">
        <v>Sæmi</v>
      </c>
      <c r="W35" s="19" t="str">
        <v xml:space="preserve">Valdís </v>
      </c>
      <c r="X35" s="19"/>
      <c r="Y35" s="20"/>
    </row>
    <row r="36" spans="1:25" x14ac:dyDescent="0.2">
      <c r="A36">
        <v>35</v>
      </c>
      <c r="B36" t="s">
        <v>153</v>
      </c>
      <c r="C36" t="s">
        <v>63</v>
      </c>
      <c r="D36" t="str">
        <f>_xlfn.XLOOKUP(C36,[3]EventTypes!A:A,[3]EventTypes!B:B,"")</f>
        <v>Basic</v>
      </c>
      <c r="E36">
        <f>_xlfn.XLOOKUP(C36,[3]EventTypes!A:A,[3]EventTypes!D:D,"")</f>
        <v>80</v>
      </c>
      <c r="F36" t="str">
        <f>_xlfn.XLOOKUP(C36,[3]EventTypes!A:A,[3]EventTypes!C:C,"")</f>
        <v>NL</v>
      </c>
      <c r="G36">
        <v>0</v>
      </c>
      <c r="H36">
        <v>0</v>
      </c>
      <c r="I36">
        <v>4</v>
      </c>
      <c r="J36" s="2">
        <v>46136</v>
      </c>
      <c r="K36" s="3">
        <v>0.75</v>
      </c>
      <c r="L36" s="3">
        <v>0.875</v>
      </c>
      <c r="M36" s="21" t="str" cm="1">
        <f t="array" ref="M36:P36">TRANSPOSE('[2]Apríl 26 - Sara og Katrín '!$E$29:$E$32)</f>
        <v xml:space="preserve">Róbert </v>
      </c>
      <c r="N36" s="22" t="str">
        <v xml:space="preserve">Magnús </v>
      </c>
      <c r="O36" s="22" t="str">
        <v xml:space="preserve">Auður </v>
      </c>
      <c r="P36" s="22" t="str">
        <v xml:space="preserve">Valdís </v>
      </c>
      <c r="Q36" s="22"/>
      <c r="R36" s="22"/>
      <c r="S36" s="22"/>
      <c r="T36" s="22"/>
      <c r="U36" s="22"/>
      <c r="V36" s="22"/>
      <c r="W36" s="22"/>
      <c r="X36" s="22"/>
      <c r="Y3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mars</vt:lpstr>
      <vt:lpstr>apríl</vt:lpstr>
      <vt:lpstr>marsvaktir</vt:lpstr>
      <vt:lpstr>aprílvaktir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Björk Ragnarsdóttir</dc:creator>
  <cp:lastModifiedBy>Sara Björk Ragnarsdóttir</cp:lastModifiedBy>
  <dcterms:created xsi:type="dcterms:W3CDTF">2026-04-30T11:32:36Z</dcterms:created>
  <dcterms:modified xsi:type="dcterms:W3CDTF">2026-05-02T14:16:26Z</dcterms:modified>
</cp:coreProperties>
</file>