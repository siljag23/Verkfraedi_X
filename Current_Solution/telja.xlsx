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ragnarsdottir/Library/CloudStorage/OneDrive-ReykjavikUniversity/HR vor 2026/verkfr x/"/>
    </mc:Choice>
  </mc:AlternateContent>
  <xr:revisionPtr revIDLastSave="0" documentId="13_ncr:1_{7C67D608-F49D-F84E-AD2B-51282C482A2F}" xr6:coauthVersionLast="47" xr6:coauthVersionMax="47" xr10:uidLastSave="{00000000-0000-0000-0000-000000000000}"/>
  <bookViews>
    <workbookView xWindow="1820" yWindow="1320" windowWidth="28320" windowHeight="16160" xr2:uid="{EEB4342D-1CB7-064A-BDFA-7C38AD77C814}"/>
  </bookViews>
  <sheets>
    <sheet name="mars" sheetId="1" r:id="rId1"/>
    <sheet name="apri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6" i="1" l="1"/>
  <c r="AC3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3" i="1"/>
  <c r="AC34" i="1"/>
  <c r="AC35" i="1"/>
  <c r="AC37" i="1"/>
  <c r="AC38" i="1"/>
  <c r="AC39" i="1"/>
  <c r="AC40" i="1"/>
  <c r="AC41" i="1"/>
  <c r="AC42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2" i="1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2" i="2"/>
  <c r="AC2" i="2"/>
  <c r="AB2" i="2"/>
  <c r="AC42" i="2"/>
  <c r="AB42" i="2"/>
  <c r="AA42" i="2"/>
  <c r="AC41" i="2"/>
  <c r="AB41" i="2"/>
  <c r="AA41" i="2"/>
  <c r="AC40" i="2"/>
  <c r="AB40" i="2"/>
  <c r="AA40" i="2"/>
  <c r="AC39" i="2"/>
  <c r="AB39" i="2"/>
  <c r="AA39" i="2"/>
  <c r="AC38" i="2"/>
  <c r="AB38" i="2"/>
  <c r="AA38" i="2"/>
  <c r="AC37" i="2"/>
  <c r="AB37" i="2"/>
  <c r="AA37" i="2"/>
  <c r="AC36" i="2"/>
  <c r="AB36" i="2"/>
  <c r="AA36" i="2"/>
  <c r="AC35" i="2"/>
  <c r="AB35" i="2"/>
  <c r="AA35" i="2"/>
  <c r="AC34" i="2"/>
  <c r="AB34" i="2"/>
  <c r="AA34" i="2"/>
  <c r="AC33" i="2"/>
  <c r="AB33" i="2"/>
  <c r="AA33" i="2"/>
  <c r="AC32" i="2"/>
  <c r="AB32" i="2"/>
  <c r="AA32" i="2"/>
  <c r="AC31" i="2"/>
  <c r="AB31" i="2"/>
  <c r="AA31" i="2"/>
  <c r="AC30" i="2"/>
  <c r="AB30" i="2"/>
  <c r="AA30" i="2"/>
  <c r="AC29" i="2"/>
  <c r="AB29" i="2"/>
  <c r="AA29" i="2"/>
  <c r="AC28" i="2"/>
  <c r="AB28" i="2"/>
  <c r="AA28" i="2"/>
  <c r="AC27" i="2"/>
  <c r="AB27" i="2"/>
  <c r="AA27" i="2"/>
  <c r="AC26" i="2"/>
  <c r="AB26" i="2"/>
  <c r="AA26" i="2"/>
  <c r="AC25" i="2"/>
  <c r="AB25" i="2"/>
  <c r="AA25" i="2"/>
  <c r="AC24" i="2"/>
  <c r="AB24" i="2"/>
  <c r="AA24" i="2"/>
  <c r="AC23" i="2"/>
  <c r="AB23" i="2"/>
  <c r="AA23" i="2"/>
  <c r="AC22" i="2"/>
  <c r="AB22" i="2"/>
  <c r="AA22" i="2"/>
  <c r="AC21" i="2"/>
  <c r="AB21" i="2"/>
  <c r="AA21" i="2"/>
  <c r="AC20" i="2"/>
  <c r="AB20" i="2"/>
  <c r="AA20" i="2"/>
  <c r="AC19" i="2"/>
  <c r="AB19" i="2"/>
  <c r="AA19" i="2"/>
  <c r="AC18" i="2"/>
  <c r="AB18" i="2"/>
  <c r="AA18" i="2"/>
  <c r="AC17" i="2"/>
  <c r="AB17" i="2"/>
  <c r="AA17" i="2"/>
  <c r="AC16" i="2"/>
  <c r="AB16" i="2"/>
  <c r="AA16" i="2"/>
  <c r="AC15" i="2"/>
  <c r="AB15" i="2"/>
  <c r="AA15" i="2"/>
  <c r="AC14" i="2"/>
  <c r="AB14" i="2"/>
  <c r="AA14" i="2"/>
  <c r="AC13" i="2"/>
  <c r="AB13" i="2"/>
  <c r="AA13" i="2"/>
  <c r="AC12" i="2"/>
  <c r="AB12" i="2"/>
  <c r="AA12" i="2"/>
  <c r="AC11" i="2"/>
  <c r="AB11" i="2"/>
  <c r="AA11" i="2"/>
  <c r="AC10" i="2"/>
  <c r="AB10" i="2"/>
  <c r="AA10" i="2"/>
  <c r="AC9" i="2"/>
  <c r="AB9" i="2"/>
  <c r="AA9" i="2"/>
  <c r="AE8" i="2"/>
  <c r="AC8" i="2"/>
  <c r="AB8" i="2"/>
  <c r="AA8" i="2"/>
  <c r="AE7" i="2"/>
  <c r="AC7" i="2"/>
  <c r="AB7" i="2"/>
  <c r="AA7" i="2"/>
  <c r="AE6" i="2"/>
  <c r="AC6" i="2"/>
  <c r="AB6" i="2"/>
  <c r="AA6" i="2"/>
  <c r="AE5" i="2"/>
  <c r="AC5" i="2"/>
  <c r="AB5" i="2"/>
  <c r="AA5" i="2"/>
  <c r="AC4" i="2"/>
  <c r="AB4" i="2"/>
  <c r="AA4" i="2"/>
  <c r="AC3" i="2"/>
  <c r="AB3" i="2"/>
  <c r="AA3" i="2"/>
  <c r="AA2" i="2"/>
  <c r="AE7" i="1"/>
  <c r="AE8" i="1"/>
  <c r="AE5" i="1"/>
  <c r="AE4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2" i="1"/>
</calcChain>
</file>

<file path=xl/sharedStrings.xml><?xml version="1.0" encoding="utf-8"?>
<sst xmlns="http://schemas.openxmlformats.org/spreadsheetml/2006/main" count="142" uniqueCount="48">
  <si>
    <t>EmployeeID</t>
  </si>
  <si>
    <t>EmployeeName</t>
  </si>
  <si>
    <t>Agnes Anna</t>
  </si>
  <si>
    <t xml:space="preserve">Alda/ Miðó </t>
  </si>
  <si>
    <t xml:space="preserve">Anna Soffía </t>
  </si>
  <si>
    <t>Arnar Ragn</t>
  </si>
  <si>
    <t xml:space="preserve">Auður </t>
  </si>
  <si>
    <t>Ágústa</t>
  </si>
  <si>
    <t>Daníel</t>
  </si>
  <si>
    <t xml:space="preserve">Elísabet </t>
  </si>
  <si>
    <t xml:space="preserve">Elmar </t>
  </si>
  <si>
    <t xml:space="preserve">Erna </t>
  </si>
  <si>
    <t xml:space="preserve">Gaukur </t>
  </si>
  <si>
    <t>Gréta</t>
  </si>
  <si>
    <t xml:space="preserve">Guðný  </t>
  </si>
  <si>
    <t xml:space="preserve">Hólmfríður </t>
  </si>
  <si>
    <t>Hrafnkell</t>
  </si>
  <si>
    <t xml:space="preserve">Hrannar </t>
  </si>
  <si>
    <t xml:space="preserve">Jórunn  </t>
  </si>
  <si>
    <t>Katrín Hel</t>
  </si>
  <si>
    <t xml:space="preserve">Katrín Sig </t>
  </si>
  <si>
    <t xml:space="preserve">Laufey </t>
  </si>
  <si>
    <t>Magnea</t>
  </si>
  <si>
    <t xml:space="preserve">Magnús  </t>
  </si>
  <si>
    <t>Margrét Lára</t>
  </si>
  <si>
    <t>Orri</t>
  </si>
  <si>
    <t>Palli</t>
  </si>
  <si>
    <t xml:space="preserve">Rut </t>
  </si>
  <si>
    <t>Sara B</t>
  </si>
  <si>
    <t xml:space="preserve">Sara Júlía </t>
  </si>
  <si>
    <t xml:space="preserve">Selma </t>
  </si>
  <si>
    <t xml:space="preserve">Sigríður </t>
  </si>
  <si>
    <t>Sveinn</t>
  </si>
  <si>
    <t xml:space="preserve">Sæmundur </t>
  </si>
  <si>
    <t xml:space="preserve">Valdís </t>
  </si>
  <si>
    <t>Vero</t>
  </si>
  <si>
    <t xml:space="preserve">Védís </t>
  </si>
  <si>
    <t xml:space="preserve">Unnar </t>
  </si>
  <si>
    <t>Ömmi</t>
  </si>
  <si>
    <t xml:space="preserve">Arnar </t>
  </si>
  <si>
    <t xml:space="preserve">Róbert </t>
  </si>
  <si>
    <t xml:space="preserve">Jara </t>
  </si>
  <si>
    <t xml:space="preserve">Þórey </t>
  </si>
  <si>
    <t>vaktir</t>
  </si>
  <si>
    <t>stig</t>
  </si>
  <si>
    <t>helgar</t>
  </si>
  <si>
    <t>vakt</t>
  </si>
  <si>
    <t>klst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</si>
</sst>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3" borderId="0" xfId="0" applyFill="1" applyBorder="1"/>
    <xf numFmtId="0" fontId="0" fillId="0" borderId="1" xfId="0" applyBorder="1"/>
    <xf numFmtId="0" fontId="0" fillId="3" borderId="2" xfId="0" applyFill="1" applyBorder="1"/>
    <xf numFmtId="0" fontId="0" fillId="4" borderId="3" xfId="0" applyFill="1" applyBorder="1"/>
    <xf numFmtId="0" fontId="0" fillId="0" borderId="4" xfId="0" applyBorder="1"/>
    <xf numFmtId="0" fontId="0" fillId="4" borderId="5" xfId="0" applyFill="1" applyBorder="1"/>
    <xf numFmtId="0" fontId="0" fillId="2" borderId="4" xfId="0" applyFill="1" applyBorder="1"/>
    <xf numFmtId="0" fontId="0" fillId="0" borderId="4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B08C-4A69-8E4C-8BEA-807E22FD10D4}">
  <dimension ref="A1:AE42"/>
  <sheetViews>
    <sheetView tabSelected="1" topLeftCell="B1" zoomScale="69" workbookViewId="0">
      <selection activeCell="AE42" sqref="AE42"/>
    </sheetView>
  </sheetViews>
  <sheetFormatPr baseColWidth="10" defaultRowHeight="16" x14ac:dyDescent="0.2"/>
  <cols>
    <col min="2" max="2" width="13.6640625" customWidth="1"/>
    <col min="3" max="3" width="10.83203125" style="6"/>
    <col min="4" max="4" width="10.83203125" style="2"/>
    <col min="5" max="5" width="10.83203125" style="7"/>
    <col min="6" max="6" width="10.83203125" style="6"/>
    <col min="7" max="7" width="10.83203125" style="2"/>
    <col min="8" max="8" width="10.83203125" style="7"/>
    <col min="9" max="9" width="10.83203125" style="6"/>
    <col min="10" max="10" width="10.83203125" style="2"/>
    <col min="11" max="11" width="10.83203125" style="7"/>
    <col min="12" max="12" width="10.83203125" style="6"/>
    <col min="13" max="13" width="10.83203125" style="2"/>
    <col min="14" max="14" width="10.83203125" style="7"/>
    <col min="15" max="15" width="10.83203125" style="6"/>
    <col min="16" max="16" width="10.83203125" style="2"/>
    <col min="17" max="17" width="10.83203125" style="7"/>
    <col min="18" max="18" width="10.83203125" style="6"/>
    <col min="19" max="19" width="10.83203125" style="2"/>
    <col min="20" max="20" width="10.83203125" style="7"/>
    <col min="21" max="21" width="10.83203125" style="6"/>
    <col min="22" max="22" width="10.83203125" style="2"/>
    <col min="23" max="23" width="10.83203125" style="7"/>
    <col min="24" max="24" width="10.83203125" style="6"/>
    <col min="25" max="25" width="10.83203125" style="2"/>
    <col min="26" max="26" width="10.83203125" style="7"/>
  </cols>
  <sheetData>
    <row r="1" spans="1:31" x14ac:dyDescent="0.2">
      <c r="A1" s="1" t="s">
        <v>0</v>
      </c>
      <c r="B1" s="1" t="s">
        <v>1</v>
      </c>
      <c r="C1" s="3" t="s">
        <v>46</v>
      </c>
      <c r="D1" s="4" t="s">
        <v>44</v>
      </c>
      <c r="E1" s="5" t="s">
        <v>47</v>
      </c>
      <c r="F1" s="3" t="s">
        <v>46</v>
      </c>
      <c r="G1" s="4" t="s">
        <v>44</v>
      </c>
      <c r="H1" s="5" t="s">
        <v>47</v>
      </c>
      <c r="I1" s="3" t="s">
        <v>46</v>
      </c>
      <c r="J1" s="4" t="s">
        <v>44</v>
      </c>
      <c r="K1" s="5" t="s">
        <v>47</v>
      </c>
      <c r="L1" s="3" t="s">
        <v>46</v>
      </c>
      <c r="M1" s="4" t="s">
        <v>44</v>
      </c>
      <c r="N1" s="5" t="s">
        <v>47</v>
      </c>
      <c r="O1" s="3" t="s">
        <v>46</v>
      </c>
      <c r="P1" s="4" t="s">
        <v>44</v>
      </c>
      <c r="Q1" s="5" t="s">
        <v>47</v>
      </c>
      <c r="R1" s="3" t="s">
        <v>46</v>
      </c>
      <c r="S1" s="4" t="s">
        <v>44</v>
      </c>
      <c r="T1" s="5" t="s">
        <v>47</v>
      </c>
      <c r="U1" s="3" t="s">
        <v>46</v>
      </c>
      <c r="V1" s="4" t="s">
        <v>44</v>
      </c>
      <c r="W1" s="5" t="s">
        <v>47</v>
      </c>
      <c r="X1" s="3" t="s">
        <v>46</v>
      </c>
      <c r="Y1" s="4" t="s">
        <v>44</v>
      </c>
      <c r="Z1" s="5" t="s">
        <v>47</v>
      </c>
      <c r="AB1" t="s">
        <v>43</v>
      </c>
      <c r="AC1" t="s">
        <v>44</v>
      </c>
      <c r="AD1" t="s">
        <v>47</v>
      </c>
      <c r="AE1" t="s">
        <v>45</v>
      </c>
    </row>
    <row r="2" spans="1:31" x14ac:dyDescent="0.2">
      <c r="A2">
        <v>1</v>
      </c>
      <c r="B2" t="s">
        <v>2</v>
      </c>
      <c r="C2" s="8">
        <v>1</v>
      </c>
      <c r="D2" s="2">
        <v>100</v>
      </c>
      <c r="E2" s="7">
        <v>4</v>
      </c>
      <c r="AA2" t="str">
        <f>B2</f>
        <v>Agnes Anna</v>
      </c>
      <c r="AB2">
        <f>SUM(C2+F2+I2+L2+O2+R2+U2+X2)</f>
        <v>1</v>
      </c>
      <c r="AC2">
        <f>SUM(D2+G2+J2+M2+P2+S2+V2+Y2)</f>
        <v>100</v>
      </c>
      <c r="AD2">
        <f>SUM(E2+H2+K2+N2+Q2+T2+W2+Z2)</f>
        <v>4</v>
      </c>
      <c r="AE2">
        <v>1</v>
      </c>
    </row>
    <row r="3" spans="1:31" x14ac:dyDescent="0.2">
      <c r="A3">
        <v>2</v>
      </c>
      <c r="B3" t="s">
        <v>3</v>
      </c>
      <c r="C3" s="8">
        <v>1</v>
      </c>
      <c r="D3" s="2">
        <v>70</v>
      </c>
      <c r="E3" s="7">
        <v>3</v>
      </c>
      <c r="F3" s="8">
        <v>1</v>
      </c>
      <c r="G3" s="2">
        <v>70</v>
      </c>
      <c r="H3" s="7">
        <v>4</v>
      </c>
      <c r="I3" s="9">
        <v>1</v>
      </c>
      <c r="J3" s="2">
        <v>80</v>
      </c>
      <c r="K3" s="7">
        <v>4</v>
      </c>
      <c r="L3" s="8">
        <v>1</v>
      </c>
      <c r="M3" s="2">
        <v>50</v>
      </c>
      <c r="N3" s="7">
        <v>3</v>
      </c>
      <c r="O3" s="6">
        <v>1</v>
      </c>
      <c r="P3" s="2">
        <v>80</v>
      </c>
      <c r="Q3" s="7">
        <v>3</v>
      </c>
      <c r="AA3" t="str">
        <f t="shared" ref="AA3:AA42" si="0">B3</f>
        <v xml:space="preserve">Alda/ Miðó </v>
      </c>
      <c r="AB3">
        <f t="shared" ref="AB3:AB42" si="1">SUM(C3+F3+I3+L3+O3+R3+U3+X3)</f>
        <v>5</v>
      </c>
      <c r="AC3">
        <f t="shared" ref="AC3:AC42" si="2">SUM(D3+G3+J3+M3+P3+S3+V3+Y3)</f>
        <v>350</v>
      </c>
      <c r="AD3">
        <f t="shared" ref="AD3:AD42" si="3">SUM(E3+H3+K3+N3+Q3+T3+W3+Z3)</f>
        <v>17</v>
      </c>
      <c r="AE3">
        <v>3</v>
      </c>
    </row>
    <row r="4" spans="1:31" x14ac:dyDescent="0.2">
      <c r="A4">
        <v>3</v>
      </c>
      <c r="B4" t="s">
        <v>4</v>
      </c>
      <c r="C4" s="6">
        <v>1</v>
      </c>
      <c r="D4" s="2">
        <v>50</v>
      </c>
      <c r="E4" s="7">
        <v>3</v>
      </c>
      <c r="F4" s="8">
        <v>1</v>
      </c>
      <c r="G4" s="2">
        <v>80</v>
      </c>
      <c r="H4" s="7">
        <v>3</v>
      </c>
      <c r="I4" s="8">
        <v>1</v>
      </c>
      <c r="J4" s="2">
        <v>100</v>
      </c>
      <c r="K4" s="7">
        <v>5.5</v>
      </c>
      <c r="L4" s="9">
        <v>1</v>
      </c>
      <c r="M4" s="2">
        <v>70</v>
      </c>
      <c r="N4" s="7">
        <v>3</v>
      </c>
      <c r="O4" s="8">
        <v>1</v>
      </c>
      <c r="P4" s="2">
        <v>50</v>
      </c>
      <c r="Q4" s="7">
        <v>3</v>
      </c>
      <c r="R4" s="8">
        <v>1</v>
      </c>
      <c r="S4" s="2">
        <v>80</v>
      </c>
      <c r="T4" s="7">
        <v>4</v>
      </c>
      <c r="AA4" t="str">
        <f t="shared" si="0"/>
        <v xml:space="preserve">Anna Soffía </v>
      </c>
      <c r="AB4">
        <f t="shared" si="1"/>
        <v>6</v>
      </c>
      <c r="AC4">
        <f t="shared" si="2"/>
        <v>430</v>
      </c>
      <c r="AD4">
        <f t="shared" si="3"/>
        <v>21.5</v>
      </c>
      <c r="AE4">
        <f>SUM(F4+I4+O4+R4)</f>
        <v>4</v>
      </c>
    </row>
    <row r="5" spans="1:31" x14ac:dyDescent="0.2">
      <c r="A5">
        <v>4</v>
      </c>
      <c r="B5" t="s">
        <v>5</v>
      </c>
      <c r="C5" s="8">
        <v>1</v>
      </c>
      <c r="D5" s="2">
        <v>70</v>
      </c>
      <c r="E5" s="7">
        <v>3</v>
      </c>
      <c r="F5" s="6">
        <v>1</v>
      </c>
      <c r="G5" s="2">
        <v>50</v>
      </c>
      <c r="H5" s="7">
        <v>3</v>
      </c>
      <c r="I5" s="8">
        <v>1</v>
      </c>
      <c r="J5" s="2">
        <v>100</v>
      </c>
      <c r="K5" s="7">
        <v>5.5</v>
      </c>
      <c r="L5" s="6">
        <v>1</v>
      </c>
      <c r="M5" s="2">
        <v>50</v>
      </c>
      <c r="N5" s="7">
        <v>3</v>
      </c>
      <c r="O5" s="8">
        <v>1</v>
      </c>
      <c r="P5" s="2">
        <v>50</v>
      </c>
      <c r="Q5" s="7">
        <v>4</v>
      </c>
      <c r="R5" s="8">
        <v>1</v>
      </c>
      <c r="S5" s="2">
        <v>50</v>
      </c>
      <c r="T5" s="7">
        <v>3</v>
      </c>
      <c r="AA5" t="str">
        <f t="shared" si="0"/>
        <v>Arnar Ragn</v>
      </c>
      <c r="AB5">
        <f t="shared" si="1"/>
        <v>6</v>
      </c>
      <c r="AC5">
        <f t="shared" si="2"/>
        <v>370</v>
      </c>
      <c r="AD5">
        <f t="shared" si="3"/>
        <v>21.5</v>
      </c>
      <c r="AE5">
        <f>SUM(C5+I5+O5+R5)</f>
        <v>4</v>
      </c>
    </row>
    <row r="6" spans="1:31" x14ac:dyDescent="0.2">
      <c r="A6">
        <v>5</v>
      </c>
      <c r="B6" t="s">
        <v>6</v>
      </c>
      <c r="C6" s="8">
        <v>1</v>
      </c>
      <c r="D6" s="2">
        <v>70</v>
      </c>
      <c r="E6" s="7">
        <v>3</v>
      </c>
      <c r="F6" s="6">
        <v>1</v>
      </c>
      <c r="G6" s="2">
        <v>50</v>
      </c>
      <c r="H6" s="7">
        <v>3</v>
      </c>
      <c r="I6" s="8">
        <v>1</v>
      </c>
      <c r="J6" s="2">
        <v>50</v>
      </c>
      <c r="K6" s="7">
        <v>4</v>
      </c>
      <c r="L6" s="8">
        <v>1</v>
      </c>
      <c r="M6" s="2">
        <v>50</v>
      </c>
      <c r="N6" s="7">
        <v>3</v>
      </c>
      <c r="O6" s="8">
        <v>1</v>
      </c>
      <c r="P6" s="2">
        <v>80</v>
      </c>
      <c r="Q6" s="7">
        <v>4</v>
      </c>
      <c r="R6" s="8">
        <v>1</v>
      </c>
      <c r="S6" s="2">
        <v>80</v>
      </c>
      <c r="T6" s="7">
        <v>4</v>
      </c>
      <c r="AA6" t="str">
        <f t="shared" si="0"/>
        <v xml:space="preserve">Auður </v>
      </c>
      <c r="AB6">
        <f t="shared" si="1"/>
        <v>6</v>
      </c>
      <c r="AC6">
        <f t="shared" si="2"/>
        <v>380</v>
      </c>
      <c r="AD6">
        <f t="shared" si="3"/>
        <v>21</v>
      </c>
      <c r="AE6">
        <v>5</v>
      </c>
    </row>
    <row r="7" spans="1:31" x14ac:dyDescent="0.2">
      <c r="A7">
        <v>6</v>
      </c>
      <c r="B7" t="s">
        <v>7</v>
      </c>
      <c r="AA7" t="str">
        <f t="shared" si="0"/>
        <v>Ágústa</v>
      </c>
      <c r="AB7">
        <f t="shared" si="1"/>
        <v>0</v>
      </c>
      <c r="AC7">
        <f t="shared" si="2"/>
        <v>0</v>
      </c>
      <c r="AD7">
        <f t="shared" si="3"/>
        <v>0</v>
      </c>
      <c r="AE7">
        <f>SUM(C7+I7+O7+R7)</f>
        <v>0</v>
      </c>
    </row>
    <row r="8" spans="1:31" x14ac:dyDescent="0.2">
      <c r="A8">
        <v>7</v>
      </c>
      <c r="B8" t="s">
        <v>8</v>
      </c>
      <c r="AA8" t="str">
        <f t="shared" si="0"/>
        <v>Daníel</v>
      </c>
      <c r="AB8">
        <f t="shared" si="1"/>
        <v>0</v>
      </c>
      <c r="AC8">
        <f t="shared" si="2"/>
        <v>0</v>
      </c>
      <c r="AD8">
        <f t="shared" si="3"/>
        <v>0</v>
      </c>
      <c r="AE8">
        <f>SUM(C8+I8+O8+R8)</f>
        <v>0</v>
      </c>
    </row>
    <row r="9" spans="1:31" x14ac:dyDescent="0.2">
      <c r="A9">
        <v>8</v>
      </c>
      <c r="B9" t="s">
        <v>9</v>
      </c>
      <c r="C9" s="8">
        <v>1</v>
      </c>
      <c r="D9" s="2">
        <v>50</v>
      </c>
      <c r="E9" s="7">
        <v>3</v>
      </c>
      <c r="AA9" t="str">
        <f t="shared" si="0"/>
        <v xml:space="preserve">Elísabet </v>
      </c>
      <c r="AB9">
        <f t="shared" si="1"/>
        <v>1</v>
      </c>
      <c r="AC9">
        <f t="shared" si="2"/>
        <v>50</v>
      </c>
      <c r="AD9">
        <f t="shared" si="3"/>
        <v>3</v>
      </c>
      <c r="AE9">
        <v>1</v>
      </c>
    </row>
    <row r="10" spans="1:31" x14ac:dyDescent="0.2">
      <c r="A10">
        <v>9</v>
      </c>
      <c r="B10" t="s">
        <v>10</v>
      </c>
      <c r="C10" s="6">
        <v>1</v>
      </c>
      <c r="D10" s="2">
        <v>50</v>
      </c>
      <c r="E10" s="7">
        <v>3</v>
      </c>
      <c r="F10" s="8">
        <v>1</v>
      </c>
      <c r="G10" s="2">
        <v>70</v>
      </c>
      <c r="H10" s="7">
        <v>4</v>
      </c>
      <c r="I10" s="6">
        <v>1</v>
      </c>
      <c r="J10" s="2">
        <v>50</v>
      </c>
      <c r="K10" s="7">
        <v>4</v>
      </c>
      <c r="L10" s="8">
        <v>1</v>
      </c>
      <c r="M10" s="2">
        <v>50</v>
      </c>
      <c r="N10" s="7">
        <v>4</v>
      </c>
      <c r="O10" s="8">
        <v>1</v>
      </c>
      <c r="P10" s="2">
        <v>50</v>
      </c>
      <c r="Q10" s="7">
        <v>3</v>
      </c>
      <c r="R10" s="9">
        <v>1</v>
      </c>
      <c r="S10" s="2">
        <v>90</v>
      </c>
      <c r="T10" s="7">
        <v>3</v>
      </c>
      <c r="AA10" t="str">
        <f t="shared" si="0"/>
        <v xml:space="preserve">Elmar </v>
      </c>
      <c r="AB10">
        <f t="shared" si="1"/>
        <v>6</v>
      </c>
      <c r="AC10">
        <f t="shared" si="2"/>
        <v>360</v>
      </c>
      <c r="AD10">
        <f t="shared" si="3"/>
        <v>21</v>
      </c>
      <c r="AE10">
        <v>3</v>
      </c>
    </row>
    <row r="11" spans="1:31" x14ac:dyDescent="0.2">
      <c r="A11">
        <v>10</v>
      </c>
      <c r="B11" t="s">
        <v>11</v>
      </c>
      <c r="C11" s="8">
        <v>1</v>
      </c>
      <c r="D11" s="2">
        <v>70</v>
      </c>
      <c r="E11" s="7">
        <v>3</v>
      </c>
      <c r="F11" s="8">
        <v>1</v>
      </c>
      <c r="G11" s="2">
        <v>70</v>
      </c>
      <c r="H11" s="7">
        <v>4</v>
      </c>
      <c r="I11" s="8">
        <v>1</v>
      </c>
      <c r="J11" s="2">
        <v>50</v>
      </c>
      <c r="K11" s="7">
        <v>4</v>
      </c>
      <c r="L11" s="8">
        <v>1</v>
      </c>
      <c r="M11" s="2">
        <v>50</v>
      </c>
      <c r="N11" s="7">
        <v>3</v>
      </c>
      <c r="O11" s="8">
        <v>1</v>
      </c>
      <c r="P11" s="2">
        <v>40</v>
      </c>
      <c r="Q11" s="7">
        <v>3</v>
      </c>
      <c r="AA11" t="str">
        <f t="shared" si="0"/>
        <v xml:space="preserve">Erna </v>
      </c>
      <c r="AB11">
        <f t="shared" si="1"/>
        <v>5</v>
      </c>
      <c r="AC11">
        <f t="shared" si="2"/>
        <v>280</v>
      </c>
      <c r="AD11">
        <f t="shared" si="3"/>
        <v>17</v>
      </c>
      <c r="AE11">
        <v>5</v>
      </c>
    </row>
    <row r="12" spans="1:31" x14ac:dyDescent="0.2">
      <c r="A12">
        <v>11</v>
      </c>
      <c r="B12" t="s">
        <v>12</v>
      </c>
      <c r="C12" s="8">
        <v>1</v>
      </c>
      <c r="D12" s="2">
        <v>70</v>
      </c>
      <c r="E12" s="7">
        <v>3</v>
      </c>
      <c r="F12" s="6">
        <v>1</v>
      </c>
      <c r="G12" s="2">
        <v>50</v>
      </c>
      <c r="H12" s="7">
        <v>3</v>
      </c>
      <c r="I12" s="8">
        <v>1</v>
      </c>
      <c r="J12" s="2">
        <v>100</v>
      </c>
      <c r="K12" s="7">
        <v>5.5</v>
      </c>
      <c r="L12" s="8">
        <v>1</v>
      </c>
      <c r="M12" s="2">
        <v>50</v>
      </c>
      <c r="N12" s="7">
        <v>4</v>
      </c>
      <c r="O12" s="8">
        <v>1</v>
      </c>
      <c r="P12" s="2">
        <v>50</v>
      </c>
      <c r="Q12" s="7">
        <v>3</v>
      </c>
      <c r="R12" s="9">
        <v>1</v>
      </c>
      <c r="S12" s="2">
        <v>80</v>
      </c>
      <c r="T12" s="7">
        <v>3</v>
      </c>
      <c r="AA12" t="str">
        <f t="shared" si="0"/>
        <v xml:space="preserve">Gaukur </v>
      </c>
      <c r="AB12">
        <f t="shared" si="1"/>
        <v>6</v>
      </c>
      <c r="AC12">
        <f t="shared" si="2"/>
        <v>400</v>
      </c>
      <c r="AD12">
        <f t="shared" si="3"/>
        <v>21.5</v>
      </c>
      <c r="AE12">
        <v>4</v>
      </c>
    </row>
    <row r="13" spans="1:31" x14ac:dyDescent="0.2">
      <c r="A13">
        <v>12</v>
      </c>
      <c r="B13" t="s">
        <v>13</v>
      </c>
      <c r="C13" s="6">
        <v>1</v>
      </c>
      <c r="D13" s="2">
        <v>50</v>
      </c>
      <c r="E13" s="7">
        <v>3</v>
      </c>
      <c r="F13" s="8">
        <v>1</v>
      </c>
      <c r="G13" s="2">
        <v>80</v>
      </c>
      <c r="H13" s="7">
        <v>3</v>
      </c>
      <c r="I13" s="8">
        <v>1</v>
      </c>
      <c r="J13" s="2">
        <v>50</v>
      </c>
      <c r="K13" s="7">
        <v>3</v>
      </c>
      <c r="L13" s="9">
        <v>1</v>
      </c>
      <c r="M13" s="2">
        <v>40</v>
      </c>
      <c r="N13" s="7">
        <v>3</v>
      </c>
      <c r="AA13" t="str">
        <f t="shared" si="0"/>
        <v>Gréta</v>
      </c>
      <c r="AB13">
        <f t="shared" si="1"/>
        <v>4</v>
      </c>
      <c r="AC13">
        <f t="shared" si="2"/>
        <v>220</v>
      </c>
      <c r="AD13">
        <f t="shared" si="3"/>
        <v>12</v>
      </c>
      <c r="AE13">
        <v>2</v>
      </c>
    </row>
    <row r="14" spans="1:31" x14ac:dyDescent="0.2">
      <c r="A14">
        <v>13</v>
      </c>
      <c r="B14" t="s">
        <v>14</v>
      </c>
      <c r="C14" s="6">
        <v>1</v>
      </c>
      <c r="D14" s="2">
        <v>50</v>
      </c>
      <c r="E14" s="7">
        <v>3</v>
      </c>
      <c r="F14" s="6">
        <v>1</v>
      </c>
      <c r="G14" s="2">
        <v>70</v>
      </c>
      <c r="H14" s="7">
        <v>3</v>
      </c>
      <c r="I14" s="6">
        <v>1</v>
      </c>
      <c r="J14" s="2">
        <v>70</v>
      </c>
      <c r="K14" s="7">
        <v>3</v>
      </c>
      <c r="L14" s="8">
        <v>1</v>
      </c>
      <c r="M14" s="2">
        <v>50</v>
      </c>
      <c r="N14" s="7">
        <v>3</v>
      </c>
      <c r="O14" s="8">
        <v>1</v>
      </c>
      <c r="P14" s="2">
        <v>80</v>
      </c>
      <c r="Q14" s="7">
        <v>4</v>
      </c>
      <c r="AA14" t="str">
        <f t="shared" si="0"/>
        <v xml:space="preserve">Guðný  </v>
      </c>
      <c r="AB14">
        <f t="shared" si="1"/>
        <v>5</v>
      </c>
      <c r="AC14">
        <f t="shared" si="2"/>
        <v>320</v>
      </c>
      <c r="AD14">
        <f t="shared" si="3"/>
        <v>16</v>
      </c>
      <c r="AE14">
        <v>2</v>
      </c>
    </row>
    <row r="15" spans="1:31" x14ac:dyDescent="0.2">
      <c r="A15">
        <v>14</v>
      </c>
      <c r="B15" t="s">
        <v>15</v>
      </c>
      <c r="C15" s="6">
        <v>1</v>
      </c>
      <c r="D15" s="2">
        <v>50</v>
      </c>
      <c r="E15" s="7">
        <v>3</v>
      </c>
      <c r="F15" s="8">
        <v>1</v>
      </c>
      <c r="G15" s="2">
        <v>50</v>
      </c>
      <c r="H15" s="7">
        <v>3</v>
      </c>
      <c r="I15" s="8">
        <v>1</v>
      </c>
      <c r="J15" s="2">
        <v>50</v>
      </c>
      <c r="K15" s="7">
        <v>4</v>
      </c>
      <c r="AA15" t="str">
        <f t="shared" si="0"/>
        <v xml:space="preserve">Hólmfríður </v>
      </c>
      <c r="AB15">
        <f t="shared" si="1"/>
        <v>3</v>
      </c>
      <c r="AC15">
        <f t="shared" si="2"/>
        <v>150</v>
      </c>
      <c r="AD15">
        <f t="shared" si="3"/>
        <v>10</v>
      </c>
      <c r="AE15">
        <v>2</v>
      </c>
    </row>
    <row r="16" spans="1:31" x14ac:dyDescent="0.2">
      <c r="A16">
        <v>15</v>
      </c>
      <c r="B16" t="s">
        <v>16</v>
      </c>
      <c r="C16" s="6">
        <v>1</v>
      </c>
      <c r="D16" s="2">
        <v>50</v>
      </c>
      <c r="E16" s="7">
        <v>3</v>
      </c>
      <c r="F16" s="6">
        <v>1</v>
      </c>
      <c r="G16" s="2">
        <v>50</v>
      </c>
      <c r="H16" s="7">
        <v>3</v>
      </c>
      <c r="I16" s="8">
        <v>1</v>
      </c>
      <c r="J16" s="2">
        <v>50</v>
      </c>
      <c r="K16" s="7">
        <v>4</v>
      </c>
      <c r="L16" s="8">
        <v>1</v>
      </c>
      <c r="M16" s="2">
        <v>50</v>
      </c>
      <c r="N16" s="7">
        <v>4</v>
      </c>
      <c r="O16" s="8">
        <v>1</v>
      </c>
      <c r="P16" s="2">
        <v>50</v>
      </c>
      <c r="Q16" s="7">
        <v>4</v>
      </c>
      <c r="R16" s="8">
        <v>1</v>
      </c>
      <c r="S16" s="2">
        <v>50</v>
      </c>
      <c r="T16" s="7">
        <v>3</v>
      </c>
      <c r="AA16" t="str">
        <f t="shared" si="0"/>
        <v>Hrafnkell</v>
      </c>
      <c r="AB16">
        <f t="shared" si="1"/>
        <v>6</v>
      </c>
      <c r="AC16">
        <f t="shared" si="2"/>
        <v>300</v>
      </c>
      <c r="AD16">
        <f t="shared" si="3"/>
        <v>21</v>
      </c>
      <c r="AE16">
        <v>4</v>
      </c>
    </row>
    <row r="17" spans="1:31" x14ac:dyDescent="0.2">
      <c r="A17">
        <v>16</v>
      </c>
      <c r="B17" t="s">
        <v>17</v>
      </c>
      <c r="C17" s="6">
        <v>1</v>
      </c>
      <c r="D17" s="2">
        <v>50</v>
      </c>
      <c r="E17" s="7">
        <v>3</v>
      </c>
      <c r="F17" s="6">
        <v>1</v>
      </c>
      <c r="G17" s="2">
        <v>50</v>
      </c>
      <c r="H17" s="7">
        <v>3</v>
      </c>
      <c r="I17" s="8">
        <v>1</v>
      </c>
      <c r="J17" s="2">
        <v>50</v>
      </c>
      <c r="K17" s="7">
        <v>4</v>
      </c>
      <c r="L17" s="8">
        <v>1</v>
      </c>
      <c r="M17" s="2">
        <v>50</v>
      </c>
      <c r="N17" s="7">
        <v>4</v>
      </c>
      <c r="O17" s="8">
        <v>1</v>
      </c>
      <c r="P17" s="2">
        <v>50</v>
      </c>
      <c r="Q17" s="7">
        <v>4</v>
      </c>
      <c r="R17" s="8">
        <v>1</v>
      </c>
      <c r="S17" s="2">
        <v>70</v>
      </c>
      <c r="T17" s="7">
        <v>4</v>
      </c>
      <c r="AA17" t="str">
        <f t="shared" si="0"/>
        <v xml:space="preserve">Hrannar </v>
      </c>
      <c r="AB17">
        <f t="shared" si="1"/>
        <v>6</v>
      </c>
      <c r="AC17">
        <f t="shared" si="2"/>
        <v>320</v>
      </c>
      <c r="AD17">
        <f t="shared" si="3"/>
        <v>22</v>
      </c>
      <c r="AE17">
        <v>4</v>
      </c>
    </row>
    <row r="18" spans="1:31" x14ac:dyDescent="0.2">
      <c r="A18">
        <v>17</v>
      </c>
      <c r="B18" t="s">
        <v>18</v>
      </c>
      <c r="C18" s="8">
        <v>1</v>
      </c>
      <c r="D18" s="2">
        <v>70</v>
      </c>
      <c r="E18" s="7">
        <v>3</v>
      </c>
      <c r="F18" s="8">
        <v>1</v>
      </c>
      <c r="G18" s="2">
        <v>100</v>
      </c>
      <c r="H18" s="7">
        <v>5.5</v>
      </c>
      <c r="I18" s="8">
        <v>1</v>
      </c>
      <c r="J18" s="2">
        <v>50</v>
      </c>
      <c r="K18" s="7">
        <v>3</v>
      </c>
      <c r="L18" s="8">
        <v>1</v>
      </c>
      <c r="M18" s="2">
        <v>50</v>
      </c>
      <c r="N18" s="7">
        <v>4</v>
      </c>
      <c r="O18" s="8">
        <v>1</v>
      </c>
      <c r="P18" s="2">
        <v>80</v>
      </c>
      <c r="Q18" s="7">
        <v>4</v>
      </c>
      <c r="R18" s="8">
        <v>1</v>
      </c>
      <c r="S18" s="2">
        <v>80</v>
      </c>
      <c r="T18" s="7">
        <v>4</v>
      </c>
      <c r="AA18" t="str">
        <f t="shared" si="0"/>
        <v xml:space="preserve">Jórunn  </v>
      </c>
      <c r="AB18">
        <f t="shared" si="1"/>
        <v>6</v>
      </c>
      <c r="AC18">
        <f t="shared" si="2"/>
        <v>430</v>
      </c>
      <c r="AD18">
        <f t="shared" si="3"/>
        <v>23.5</v>
      </c>
      <c r="AE18">
        <v>6</v>
      </c>
    </row>
    <row r="19" spans="1:31" x14ac:dyDescent="0.2">
      <c r="A19">
        <v>18</v>
      </c>
      <c r="B19" t="s">
        <v>19</v>
      </c>
      <c r="C19" s="8">
        <v>1</v>
      </c>
      <c r="D19" s="2">
        <v>100</v>
      </c>
      <c r="E19" s="7">
        <v>5.5</v>
      </c>
      <c r="F19" s="8">
        <v>1</v>
      </c>
      <c r="G19" s="2">
        <v>80</v>
      </c>
      <c r="H19" s="7">
        <v>3.5</v>
      </c>
      <c r="I19" s="9">
        <v>1</v>
      </c>
      <c r="J19" s="2">
        <v>90</v>
      </c>
      <c r="K19" s="7">
        <v>3</v>
      </c>
      <c r="AA19" t="str">
        <f t="shared" si="0"/>
        <v>Katrín Hel</v>
      </c>
      <c r="AB19">
        <f t="shared" si="1"/>
        <v>3</v>
      </c>
      <c r="AC19">
        <f t="shared" si="2"/>
        <v>270</v>
      </c>
      <c r="AD19">
        <f t="shared" si="3"/>
        <v>12</v>
      </c>
      <c r="AE19">
        <v>2</v>
      </c>
    </row>
    <row r="20" spans="1:31" x14ac:dyDescent="0.2">
      <c r="A20">
        <v>19</v>
      </c>
      <c r="B20" t="s">
        <v>20</v>
      </c>
      <c r="C20" s="8">
        <v>1</v>
      </c>
      <c r="D20" s="2">
        <v>70</v>
      </c>
      <c r="E20" s="7">
        <v>3</v>
      </c>
      <c r="F20" s="6">
        <v>1</v>
      </c>
      <c r="G20" s="2">
        <v>50</v>
      </c>
      <c r="H20" s="7">
        <v>3</v>
      </c>
      <c r="I20" s="8">
        <v>1</v>
      </c>
      <c r="J20" s="2">
        <v>100</v>
      </c>
      <c r="K20" s="7">
        <v>5.5</v>
      </c>
      <c r="L20" s="8">
        <v>1</v>
      </c>
      <c r="M20" s="2">
        <v>50</v>
      </c>
      <c r="N20" s="7">
        <v>3</v>
      </c>
      <c r="O20" s="8">
        <v>1</v>
      </c>
      <c r="P20" s="2">
        <v>100</v>
      </c>
      <c r="Q20" s="7">
        <v>4</v>
      </c>
      <c r="R20" s="8">
        <v>1</v>
      </c>
      <c r="S20" s="2">
        <v>80</v>
      </c>
      <c r="T20" s="7">
        <v>4</v>
      </c>
      <c r="AA20" t="str">
        <f t="shared" si="0"/>
        <v xml:space="preserve">Katrín Sig </v>
      </c>
      <c r="AB20">
        <f t="shared" si="1"/>
        <v>6</v>
      </c>
      <c r="AC20">
        <f t="shared" si="2"/>
        <v>450</v>
      </c>
      <c r="AD20">
        <f t="shared" si="3"/>
        <v>22.5</v>
      </c>
      <c r="AE20">
        <v>5</v>
      </c>
    </row>
    <row r="21" spans="1:31" x14ac:dyDescent="0.2">
      <c r="A21">
        <v>20</v>
      </c>
      <c r="B21" t="s">
        <v>21</v>
      </c>
      <c r="C21" s="6">
        <v>1</v>
      </c>
      <c r="D21" s="2">
        <v>40</v>
      </c>
      <c r="E21" s="7">
        <v>3</v>
      </c>
      <c r="F21" s="6">
        <v>1</v>
      </c>
      <c r="G21" s="2">
        <v>70</v>
      </c>
      <c r="H21" s="7">
        <v>3</v>
      </c>
      <c r="I21" s="6">
        <v>1</v>
      </c>
      <c r="J21" s="2">
        <v>50</v>
      </c>
      <c r="K21" s="7">
        <v>3</v>
      </c>
      <c r="L21" s="8">
        <v>1</v>
      </c>
      <c r="M21" s="2">
        <v>50</v>
      </c>
      <c r="N21" s="7">
        <v>4</v>
      </c>
      <c r="O21" s="8">
        <v>1</v>
      </c>
      <c r="P21" s="2">
        <v>80</v>
      </c>
      <c r="Q21" s="7">
        <v>4</v>
      </c>
      <c r="AA21" t="str">
        <f t="shared" si="0"/>
        <v xml:space="preserve">Laufey </v>
      </c>
      <c r="AB21">
        <f t="shared" si="1"/>
        <v>5</v>
      </c>
      <c r="AC21">
        <f t="shared" si="2"/>
        <v>290</v>
      </c>
      <c r="AD21">
        <f t="shared" si="3"/>
        <v>17</v>
      </c>
      <c r="AE21">
        <v>2</v>
      </c>
    </row>
    <row r="22" spans="1:31" x14ac:dyDescent="0.2">
      <c r="A22">
        <v>21</v>
      </c>
      <c r="B22" t="s">
        <v>22</v>
      </c>
      <c r="AA22" t="str">
        <f t="shared" si="0"/>
        <v>Magnea</v>
      </c>
      <c r="AB22">
        <f t="shared" si="1"/>
        <v>0</v>
      </c>
      <c r="AC22">
        <f t="shared" si="2"/>
        <v>0</v>
      </c>
      <c r="AD22">
        <f t="shared" si="3"/>
        <v>0</v>
      </c>
    </row>
    <row r="23" spans="1:31" x14ac:dyDescent="0.2">
      <c r="A23">
        <v>22</v>
      </c>
      <c r="B23" t="s">
        <v>23</v>
      </c>
      <c r="C23" s="8">
        <v>1</v>
      </c>
      <c r="D23" s="2">
        <v>80</v>
      </c>
      <c r="E23" s="7">
        <v>3</v>
      </c>
      <c r="F23" s="8">
        <v>1</v>
      </c>
      <c r="G23" s="2">
        <v>100</v>
      </c>
      <c r="H23" s="7">
        <v>5.5</v>
      </c>
      <c r="I23" s="8">
        <v>1</v>
      </c>
      <c r="J23" s="2">
        <v>50</v>
      </c>
      <c r="K23" s="7">
        <v>3</v>
      </c>
      <c r="L23" s="9">
        <v>1</v>
      </c>
      <c r="M23" s="2">
        <v>70</v>
      </c>
      <c r="N23" s="7">
        <v>3</v>
      </c>
      <c r="O23" s="8">
        <v>1</v>
      </c>
      <c r="P23" s="2">
        <v>50</v>
      </c>
      <c r="Q23" s="7">
        <v>4</v>
      </c>
      <c r="AA23" t="str">
        <f t="shared" si="0"/>
        <v xml:space="preserve">Magnús  </v>
      </c>
      <c r="AB23">
        <f t="shared" si="1"/>
        <v>5</v>
      </c>
      <c r="AC23">
        <f t="shared" si="2"/>
        <v>350</v>
      </c>
      <c r="AD23">
        <f t="shared" si="3"/>
        <v>18.5</v>
      </c>
      <c r="AE23">
        <v>4</v>
      </c>
    </row>
    <row r="24" spans="1:31" x14ac:dyDescent="0.2">
      <c r="A24">
        <v>23</v>
      </c>
      <c r="B24" t="s">
        <v>24</v>
      </c>
      <c r="AA24" t="str">
        <f t="shared" si="0"/>
        <v>Margrét Lára</v>
      </c>
      <c r="AB24">
        <f t="shared" si="1"/>
        <v>0</v>
      </c>
      <c r="AC24">
        <f t="shared" si="2"/>
        <v>0</v>
      </c>
      <c r="AD24">
        <f t="shared" si="3"/>
        <v>0</v>
      </c>
    </row>
    <row r="25" spans="1:31" x14ac:dyDescent="0.2">
      <c r="A25">
        <v>24</v>
      </c>
      <c r="B25" t="s">
        <v>25</v>
      </c>
      <c r="C25" s="8">
        <v>1</v>
      </c>
      <c r="D25" s="2">
        <v>70</v>
      </c>
      <c r="E25" s="7">
        <v>3</v>
      </c>
      <c r="F25" s="8">
        <v>1</v>
      </c>
      <c r="G25" s="2">
        <v>70</v>
      </c>
      <c r="H25" s="7">
        <v>4</v>
      </c>
      <c r="I25" s="9">
        <v>1</v>
      </c>
      <c r="J25" s="2">
        <v>70</v>
      </c>
      <c r="K25" s="7">
        <v>3</v>
      </c>
      <c r="L25" s="8">
        <v>1</v>
      </c>
      <c r="M25" s="2">
        <v>50</v>
      </c>
      <c r="N25" s="7">
        <v>3</v>
      </c>
      <c r="O25" s="6">
        <v>1</v>
      </c>
      <c r="P25" s="2">
        <v>70</v>
      </c>
      <c r="Q25" s="7">
        <v>3</v>
      </c>
      <c r="R25" s="8">
        <v>1</v>
      </c>
      <c r="S25" s="2">
        <v>50</v>
      </c>
      <c r="T25" s="7">
        <v>4</v>
      </c>
      <c r="U25" s="6">
        <v>1</v>
      </c>
      <c r="V25" s="2">
        <v>90</v>
      </c>
      <c r="W25" s="7">
        <v>3</v>
      </c>
      <c r="AA25" t="str">
        <f t="shared" si="0"/>
        <v>Orri</v>
      </c>
      <c r="AB25">
        <f t="shared" si="1"/>
        <v>7</v>
      </c>
      <c r="AC25">
        <f t="shared" si="2"/>
        <v>470</v>
      </c>
      <c r="AD25">
        <f t="shared" si="3"/>
        <v>23</v>
      </c>
      <c r="AE25">
        <v>4</v>
      </c>
    </row>
    <row r="26" spans="1:31" x14ac:dyDescent="0.2">
      <c r="A26">
        <v>25</v>
      </c>
      <c r="B26" t="s">
        <v>26</v>
      </c>
      <c r="AA26" t="str">
        <f t="shared" si="0"/>
        <v>Palli</v>
      </c>
      <c r="AB26">
        <f t="shared" si="1"/>
        <v>0</v>
      </c>
      <c r="AC26">
        <f t="shared" si="2"/>
        <v>0</v>
      </c>
      <c r="AD26">
        <f t="shared" si="3"/>
        <v>0</v>
      </c>
    </row>
    <row r="27" spans="1:31" x14ac:dyDescent="0.2">
      <c r="A27">
        <v>26</v>
      </c>
      <c r="B27" t="s">
        <v>27</v>
      </c>
      <c r="C27" s="8">
        <v>1</v>
      </c>
      <c r="D27" s="2">
        <v>50</v>
      </c>
      <c r="E27" s="7">
        <v>4</v>
      </c>
      <c r="F27" s="8">
        <v>1</v>
      </c>
      <c r="G27" s="2">
        <v>100</v>
      </c>
      <c r="H27" s="7">
        <v>5.5</v>
      </c>
      <c r="I27" s="9">
        <v>1</v>
      </c>
      <c r="J27" s="2">
        <v>50</v>
      </c>
      <c r="K27" s="7">
        <v>3</v>
      </c>
      <c r="L27" s="9">
        <v>1</v>
      </c>
      <c r="M27" s="2">
        <v>70</v>
      </c>
      <c r="N27" s="7">
        <v>3</v>
      </c>
      <c r="O27" s="8">
        <v>1</v>
      </c>
      <c r="P27" s="2">
        <v>50</v>
      </c>
      <c r="Q27" s="7">
        <v>4</v>
      </c>
      <c r="AA27" t="str">
        <f t="shared" si="0"/>
        <v xml:space="preserve">Rut </v>
      </c>
      <c r="AB27">
        <f t="shared" si="1"/>
        <v>5</v>
      </c>
      <c r="AC27">
        <f t="shared" si="2"/>
        <v>320</v>
      </c>
      <c r="AD27">
        <f t="shared" si="3"/>
        <v>19.5</v>
      </c>
      <c r="AE27">
        <v>3</v>
      </c>
    </row>
    <row r="28" spans="1:31" x14ac:dyDescent="0.2">
      <c r="A28">
        <v>27</v>
      </c>
      <c r="B28" t="s">
        <v>28</v>
      </c>
      <c r="C28" s="8">
        <v>1</v>
      </c>
      <c r="D28" s="2">
        <v>50</v>
      </c>
      <c r="E28" s="7">
        <v>4</v>
      </c>
      <c r="F28" s="6">
        <v>1</v>
      </c>
      <c r="G28" s="2">
        <v>50</v>
      </c>
      <c r="H28" s="7">
        <v>3</v>
      </c>
      <c r="I28" s="9">
        <v>1</v>
      </c>
      <c r="J28" s="2">
        <v>70</v>
      </c>
      <c r="K28" s="7">
        <v>3</v>
      </c>
      <c r="L28" s="8">
        <v>1</v>
      </c>
      <c r="M28" s="2">
        <v>50</v>
      </c>
      <c r="N28" s="7">
        <v>4</v>
      </c>
      <c r="O28" s="8">
        <v>1</v>
      </c>
      <c r="P28" s="2">
        <v>70</v>
      </c>
      <c r="Q28" s="7">
        <v>4</v>
      </c>
      <c r="R28" s="8">
        <v>1</v>
      </c>
      <c r="S28" s="2">
        <v>100</v>
      </c>
      <c r="T28" s="7">
        <v>4</v>
      </c>
      <c r="AA28" t="str">
        <f t="shared" si="0"/>
        <v>Sara B</v>
      </c>
      <c r="AB28">
        <f t="shared" si="1"/>
        <v>6</v>
      </c>
      <c r="AC28">
        <f t="shared" si="2"/>
        <v>390</v>
      </c>
      <c r="AD28">
        <f t="shared" si="3"/>
        <v>22</v>
      </c>
      <c r="AE28">
        <v>4</v>
      </c>
    </row>
    <row r="29" spans="1:31" x14ac:dyDescent="0.2">
      <c r="A29">
        <v>28</v>
      </c>
      <c r="B29" t="s">
        <v>29</v>
      </c>
      <c r="C29" s="8">
        <v>1</v>
      </c>
      <c r="D29" s="2">
        <v>50</v>
      </c>
      <c r="E29" s="7">
        <v>4</v>
      </c>
      <c r="F29" s="8">
        <v>1</v>
      </c>
      <c r="G29" s="2">
        <v>70</v>
      </c>
      <c r="H29" s="7">
        <v>4</v>
      </c>
      <c r="I29" s="9">
        <v>1</v>
      </c>
      <c r="J29" s="2">
        <v>50</v>
      </c>
      <c r="K29" s="7">
        <v>3</v>
      </c>
      <c r="L29" s="6">
        <v>1</v>
      </c>
      <c r="M29" s="2">
        <v>70</v>
      </c>
      <c r="N29" s="7">
        <v>3</v>
      </c>
      <c r="O29" s="8">
        <v>1</v>
      </c>
      <c r="P29" s="2">
        <v>70</v>
      </c>
      <c r="Q29" s="7">
        <v>4</v>
      </c>
      <c r="R29" s="9">
        <v>1</v>
      </c>
      <c r="S29" s="2">
        <v>80</v>
      </c>
      <c r="T29" s="7">
        <v>3</v>
      </c>
      <c r="AA29" t="str">
        <f t="shared" si="0"/>
        <v xml:space="preserve">Sara Júlía </v>
      </c>
      <c r="AB29">
        <f t="shared" si="1"/>
        <v>6</v>
      </c>
      <c r="AC29">
        <f t="shared" si="2"/>
        <v>390</v>
      </c>
      <c r="AD29">
        <f t="shared" si="3"/>
        <v>21</v>
      </c>
      <c r="AE29">
        <v>3</v>
      </c>
    </row>
    <row r="30" spans="1:31" x14ac:dyDescent="0.2">
      <c r="A30">
        <v>29</v>
      </c>
      <c r="B30" t="s">
        <v>30</v>
      </c>
      <c r="C30" s="8">
        <v>1</v>
      </c>
      <c r="D30" s="2">
        <v>50</v>
      </c>
      <c r="E30" s="7">
        <v>4</v>
      </c>
      <c r="F30" s="6">
        <v>1</v>
      </c>
      <c r="G30" s="2">
        <v>80</v>
      </c>
      <c r="H30" s="7">
        <v>4</v>
      </c>
      <c r="I30" s="8">
        <v>1</v>
      </c>
      <c r="J30" s="2">
        <v>50</v>
      </c>
      <c r="K30" s="7">
        <v>4</v>
      </c>
      <c r="L30" s="8">
        <v>1</v>
      </c>
      <c r="M30" s="2">
        <v>50</v>
      </c>
      <c r="N30" s="7">
        <v>4</v>
      </c>
      <c r="O30" s="8">
        <v>1</v>
      </c>
      <c r="P30" s="2">
        <v>70</v>
      </c>
      <c r="Q30" s="7">
        <v>4</v>
      </c>
      <c r="AA30" t="str">
        <f t="shared" si="0"/>
        <v xml:space="preserve">Selma </v>
      </c>
      <c r="AB30">
        <f t="shared" si="1"/>
        <v>5</v>
      </c>
      <c r="AC30">
        <f t="shared" si="2"/>
        <v>300</v>
      </c>
      <c r="AD30">
        <f t="shared" si="3"/>
        <v>20</v>
      </c>
      <c r="AE30">
        <v>4</v>
      </c>
    </row>
    <row r="31" spans="1:31" x14ac:dyDescent="0.2">
      <c r="A31">
        <v>30</v>
      </c>
      <c r="B31" t="s">
        <v>31</v>
      </c>
      <c r="C31" s="8">
        <v>1</v>
      </c>
      <c r="D31" s="2">
        <v>50</v>
      </c>
      <c r="E31" s="7">
        <v>4</v>
      </c>
      <c r="F31" s="6">
        <v>1</v>
      </c>
      <c r="G31" s="2">
        <v>70</v>
      </c>
      <c r="H31" s="7">
        <v>3</v>
      </c>
      <c r="I31" s="6">
        <v>1</v>
      </c>
      <c r="J31" s="2">
        <v>50</v>
      </c>
      <c r="K31" s="7">
        <v>3</v>
      </c>
      <c r="L31" s="8">
        <v>1</v>
      </c>
      <c r="M31" s="2">
        <v>50</v>
      </c>
      <c r="N31" s="7">
        <v>4</v>
      </c>
      <c r="O31" s="8">
        <v>1</v>
      </c>
      <c r="P31" s="2">
        <v>50</v>
      </c>
      <c r="Q31" s="7">
        <v>4</v>
      </c>
      <c r="R31" s="8">
        <v>1</v>
      </c>
      <c r="S31" s="2">
        <v>80</v>
      </c>
      <c r="T31" s="7">
        <v>3</v>
      </c>
      <c r="U31" s="9">
        <v>1</v>
      </c>
      <c r="V31" s="2">
        <v>80</v>
      </c>
      <c r="W31" s="7">
        <v>3</v>
      </c>
      <c r="X31" s="8">
        <v>1</v>
      </c>
      <c r="Y31" s="2">
        <v>80</v>
      </c>
      <c r="Z31" s="7">
        <v>4</v>
      </c>
      <c r="AA31" t="str">
        <f t="shared" si="0"/>
        <v xml:space="preserve">Sigríður </v>
      </c>
      <c r="AB31">
        <f t="shared" si="1"/>
        <v>8</v>
      </c>
      <c r="AC31">
        <f t="shared" si="2"/>
        <v>510</v>
      </c>
      <c r="AD31">
        <f t="shared" si="3"/>
        <v>28</v>
      </c>
      <c r="AE31">
        <v>5</v>
      </c>
    </row>
    <row r="32" spans="1:31" x14ac:dyDescent="0.2">
      <c r="A32">
        <v>31</v>
      </c>
      <c r="B32" t="s">
        <v>32</v>
      </c>
      <c r="C32" s="8">
        <v>1</v>
      </c>
      <c r="D32" s="2">
        <v>50</v>
      </c>
      <c r="E32" s="7">
        <v>4</v>
      </c>
      <c r="F32" s="8">
        <v>1</v>
      </c>
      <c r="G32" s="2">
        <v>100</v>
      </c>
      <c r="H32" s="7">
        <v>5.5</v>
      </c>
      <c r="I32" s="9">
        <v>1</v>
      </c>
      <c r="J32" s="2">
        <v>50</v>
      </c>
      <c r="K32" s="7">
        <v>3</v>
      </c>
      <c r="L32" s="8">
        <v>1</v>
      </c>
      <c r="M32" s="2">
        <v>50</v>
      </c>
      <c r="N32" s="7">
        <v>4</v>
      </c>
      <c r="O32" s="8">
        <v>1</v>
      </c>
      <c r="P32" s="2">
        <v>50</v>
      </c>
      <c r="Q32" s="7">
        <v>4</v>
      </c>
      <c r="AA32" t="str">
        <f t="shared" si="0"/>
        <v>Sveinn</v>
      </c>
      <c r="AB32">
        <f t="shared" si="1"/>
        <v>5</v>
      </c>
      <c r="AC32">
        <f>SUM(D32+G32+J32+M32+P32+S32+V32+Y32)</f>
        <v>300</v>
      </c>
      <c r="AD32">
        <f t="shared" si="3"/>
        <v>20.5</v>
      </c>
      <c r="AE32">
        <v>4</v>
      </c>
    </row>
    <row r="33" spans="1:31" x14ac:dyDescent="0.2">
      <c r="A33">
        <v>32</v>
      </c>
      <c r="B33" t="s">
        <v>33</v>
      </c>
      <c r="C33" s="8">
        <v>1</v>
      </c>
      <c r="D33" s="2">
        <v>70</v>
      </c>
      <c r="E33" s="7">
        <v>4</v>
      </c>
      <c r="F33" s="6">
        <v>1</v>
      </c>
      <c r="G33" s="2">
        <v>80</v>
      </c>
      <c r="H33" s="7">
        <v>3</v>
      </c>
      <c r="AA33" t="str">
        <f t="shared" si="0"/>
        <v xml:space="preserve">Sæmundur </v>
      </c>
      <c r="AB33">
        <f t="shared" si="1"/>
        <v>2</v>
      </c>
      <c r="AC33">
        <f t="shared" si="2"/>
        <v>150</v>
      </c>
      <c r="AD33">
        <f t="shared" si="3"/>
        <v>7</v>
      </c>
      <c r="AE33">
        <v>1</v>
      </c>
    </row>
    <row r="34" spans="1:31" x14ac:dyDescent="0.2">
      <c r="A34">
        <v>33</v>
      </c>
      <c r="B34" t="s">
        <v>34</v>
      </c>
      <c r="C34" s="8">
        <v>1</v>
      </c>
      <c r="D34" s="2">
        <v>70</v>
      </c>
      <c r="E34" s="7">
        <v>3</v>
      </c>
      <c r="F34" s="6">
        <v>1</v>
      </c>
      <c r="G34" s="2">
        <v>50</v>
      </c>
      <c r="H34" s="7">
        <v>3</v>
      </c>
      <c r="I34" s="6">
        <v>1</v>
      </c>
      <c r="J34" s="2">
        <v>80</v>
      </c>
      <c r="K34" s="7">
        <v>3</v>
      </c>
      <c r="AA34" t="str">
        <f t="shared" si="0"/>
        <v xml:space="preserve">Valdís </v>
      </c>
      <c r="AB34">
        <f t="shared" si="1"/>
        <v>3</v>
      </c>
      <c r="AC34">
        <f t="shared" si="2"/>
        <v>200</v>
      </c>
      <c r="AD34">
        <f t="shared" si="3"/>
        <v>9</v>
      </c>
      <c r="AE34">
        <v>1</v>
      </c>
    </row>
    <row r="35" spans="1:31" x14ac:dyDescent="0.2">
      <c r="A35">
        <v>34</v>
      </c>
      <c r="B35" t="s">
        <v>35</v>
      </c>
      <c r="C35" s="8">
        <v>1</v>
      </c>
      <c r="D35" s="2">
        <v>50</v>
      </c>
      <c r="E35" s="7">
        <v>4</v>
      </c>
      <c r="F35" s="8">
        <v>1</v>
      </c>
      <c r="G35" s="2">
        <v>50</v>
      </c>
      <c r="H35" s="7">
        <v>3</v>
      </c>
      <c r="I35" s="8">
        <v>1</v>
      </c>
      <c r="J35" s="2">
        <v>50</v>
      </c>
      <c r="K35" s="7">
        <v>4</v>
      </c>
      <c r="L35" s="8">
        <v>1</v>
      </c>
      <c r="M35" s="2">
        <v>80</v>
      </c>
      <c r="N35" s="7">
        <v>4</v>
      </c>
      <c r="O35" s="9">
        <v>1</v>
      </c>
      <c r="P35" s="2">
        <v>80</v>
      </c>
      <c r="Q35" s="7">
        <v>3</v>
      </c>
      <c r="AA35" t="str">
        <f t="shared" si="0"/>
        <v>Vero</v>
      </c>
      <c r="AB35">
        <f t="shared" si="1"/>
        <v>5</v>
      </c>
      <c r="AC35">
        <f t="shared" si="2"/>
        <v>310</v>
      </c>
      <c r="AD35">
        <f t="shared" si="3"/>
        <v>18</v>
      </c>
      <c r="AE35">
        <v>1</v>
      </c>
    </row>
    <row r="36" spans="1:31" x14ac:dyDescent="0.2">
      <c r="A36">
        <v>35</v>
      </c>
      <c r="B36" t="s">
        <v>36</v>
      </c>
      <c r="C36" s="8">
        <v>1</v>
      </c>
      <c r="D36" s="2">
        <v>50</v>
      </c>
      <c r="E36" s="7">
        <v>4</v>
      </c>
      <c r="F36" s="6">
        <v>1</v>
      </c>
      <c r="G36" s="2">
        <v>70</v>
      </c>
      <c r="H36" s="7">
        <v>3</v>
      </c>
      <c r="I36" s="8">
        <v>1</v>
      </c>
      <c r="J36" s="2">
        <v>50</v>
      </c>
      <c r="K36" s="7">
        <v>4</v>
      </c>
      <c r="L36" s="8">
        <v>1</v>
      </c>
      <c r="M36" s="2">
        <v>50</v>
      </c>
      <c r="N36" s="7">
        <v>4</v>
      </c>
      <c r="O36" s="8">
        <v>1</v>
      </c>
      <c r="P36" s="2">
        <v>80</v>
      </c>
      <c r="Q36" s="7">
        <v>3</v>
      </c>
      <c r="R36" s="9">
        <v>1</v>
      </c>
      <c r="S36" s="2">
        <v>80</v>
      </c>
      <c r="T36" s="7">
        <v>3</v>
      </c>
      <c r="AA36" t="str">
        <f t="shared" si="0"/>
        <v xml:space="preserve">Védís </v>
      </c>
      <c r="AB36">
        <f t="shared" si="1"/>
        <v>6</v>
      </c>
      <c r="AC36">
        <f>SUM(D36+G36+J36+M36+P36+S36+V36+Y36)</f>
        <v>380</v>
      </c>
      <c r="AD36">
        <f t="shared" si="3"/>
        <v>21</v>
      </c>
      <c r="AE36">
        <v>4</v>
      </c>
    </row>
    <row r="37" spans="1:31" x14ac:dyDescent="0.2">
      <c r="A37">
        <v>36</v>
      </c>
      <c r="B37" t="s">
        <v>37</v>
      </c>
      <c r="C37" s="8">
        <v>1</v>
      </c>
      <c r="D37" s="2">
        <v>50</v>
      </c>
      <c r="E37" s="7">
        <v>4</v>
      </c>
      <c r="F37" s="6">
        <v>1</v>
      </c>
      <c r="G37" s="2">
        <v>70</v>
      </c>
      <c r="H37" s="7">
        <v>3</v>
      </c>
      <c r="I37" s="8">
        <v>1</v>
      </c>
      <c r="J37" s="2">
        <v>50</v>
      </c>
      <c r="K37" s="7">
        <v>4</v>
      </c>
      <c r="L37" s="8">
        <v>1</v>
      </c>
      <c r="M37" s="2">
        <v>80</v>
      </c>
      <c r="N37" s="7">
        <v>6</v>
      </c>
      <c r="O37" s="8">
        <v>1</v>
      </c>
      <c r="P37" s="2">
        <v>50</v>
      </c>
      <c r="Q37" s="7">
        <v>4</v>
      </c>
      <c r="AA37" t="str">
        <f t="shared" si="0"/>
        <v xml:space="preserve">Unnar </v>
      </c>
      <c r="AB37">
        <f t="shared" si="1"/>
        <v>5</v>
      </c>
      <c r="AC37">
        <f t="shared" si="2"/>
        <v>300</v>
      </c>
      <c r="AD37">
        <f t="shared" si="3"/>
        <v>21</v>
      </c>
      <c r="AE37">
        <v>4</v>
      </c>
    </row>
    <row r="38" spans="1:31" x14ac:dyDescent="0.2">
      <c r="A38">
        <v>37</v>
      </c>
      <c r="B38" t="s">
        <v>38</v>
      </c>
      <c r="C38" s="8">
        <v>1</v>
      </c>
      <c r="D38" s="2">
        <v>70</v>
      </c>
      <c r="E38" s="7">
        <v>3</v>
      </c>
      <c r="F38" s="6">
        <v>1</v>
      </c>
      <c r="G38" s="2">
        <v>50</v>
      </c>
      <c r="H38" s="7">
        <v>4</v>
      </c>
      <c r="I38" s="8">
        <v>1</v>
      </c>
      <c r="J38" s="2">
        <v>100</v>
      </c>
      <c r="K38" s="7">
        <v>5.5</v>
      </c>
      <c r="L38" s="6">
        <v>1</v>
      </c>
      <c r="M38" s="2">
        <v>70</v>
      </c>
      <c r="N38" s="7">
        <v>3</v>
      </c>
      <c r="O38" s="8">
        <v>1</v>
      </c>
      <c r="P38" s="2">
        <v>80</v>
      </c>
      <c r="Q38" s="7">
        <v>4</v>
      </c>
      <c r="R38" s="8">
        <v>1</v>
      </c>
      <c r="S38" s="2">
        <v>50</v>
      </c>
      <c r="T38" s="7">
        <v>4</v>
      </c>
      <c r="U38" s="8">
        <v>1</v>
      </c>
      <c r="V38" s="2">
        <v>70</v>
      </c>
      <c r="W38" s="7">
        <v>4</v>
      </c>
      <c r="AA38" t="str">
        <f t="shared" si="0"/>
        <v>Ömmi</v>
      </c>
      <c r="AB38">
        <f t="shared" si="1"/>
        <v>7</v>
      </c>
      <c r="AC38">
        <f t="shared" si="2"/>
        <v>490</v>
      </c>
      <c r="AD38">
        <f t="shared" si="3"/>
        <v>27.5</v>
      </c>
      <c r="AE38">
        <v>5</v>
      </c>
    </row>
    <row r="39" spans="1:31" x14ac:dyDescent="0.2">
      <c r="A39">
        <v>38</v>
      </c>
      <c r="B39" t="s">
        <v>39</v>
      </c>
      <c r="C39" s="8">
        <v>1</v>
      </c>
      <c r="D39" s="2">
        <v>70</v>
      </c>
      <c r="E39" s="7">
        <v>3</v>
      </c>
      <c r="F39" s="8">
        <v>1</v>
      </c>
      <c r="G39" s="2">
        <v>70</v>
      </c>
      <c r="H39" s="7">
        <v>4</v>
      </c>
      <c r="I39" s="8">
        <v>1</v>
      </c>
      <c r="J39" s="2">
        <v>50</v>
      </c>
      <c r="K39" s="7">
        <v>4</v>
      </c>
      <c r="L39" s="8">
        <v>1</v>
      </c>
      <c r="M39" s="2">
        <v>80</v>
      </c>
      <c r="N39" s="7">
        <v>6</v>
      </c>
      <c r="O39" s="8">
        <v>1</v>
      </c>
      <c r="P39" s="2">
        <v>50</v>
      </c>
      <c r="Q39" s="7">
        <v>4</v>
      </c>
      <c r="AA39" t="str">
        <f t="shared" si="0"/>
        <v xml:space="preserve">Arnar </v>
      </c>
      <c r="AB39">
        <f t="shared" si="1"/>
        <v>5</v>
      </c>
      <c r="AC39">
        <f t="shared" si="2"/>
        <v>320</v>
      </c>
      <c r="AD39">
        <f t="shared" si="3"/>
        <v>21</v>
      </c>
      <c r="AE39">
        <v>5</v>
      </c>
    </row>
    <row r="40" spans="1:31" x14ac:dyDescent="0.2">
      <c r="A40">
        <v>39</v>
      </c>
      <c r="B40" t="s">
        <v>40</v>
      </c>
      <c r="C40" s="8">
        <v>1</v>
      </c>
      <c r="D40" s="2">
        <v>80</v>
      </c>
      <c r="E40" s="7">
        <v>3</v>
      </c>
      <c r="F40" s="6">
        <v>1</v>
      </c>
      <c r="G40" s="2">
        <v>70</v>
      </c>
      <c r="H40" s="7">
        <v>3</v>
      </c>
      <c r="I40" s="8">
        <v>1</v>
      </c>
      <c r="J40" s="2">
        <v>50</v>
      </c>
      <c r="K40" s="7">
        <v>3</v>
      </c>
      <c r="L40" s="8">
        <v>1</v>
      </c>
      <c r="M40" s="2">
        <v>50</v>
      </c>
      <c r="N40" s="7">
        <v>4</v>
      </c>
      <c r="AA40" t="str">
        <f t="shared" si="0"/>
        <v xml:space="preserve">Róbert </v>
      </c>
      <c r="AB40">
        <f t="shared" si="1"/>
        <v>4</v>
      </c>
      <c r="AC40">
        <f t="shared" si="2"/>
        <v>250</v>
      </c>
      <c r="AD40">
        <f t="shared" si="3"/>
        <v>13</v>
      </c>
      <c r="AE40">
        <v>3</v>
      </c>
    </row>
    <row r="41" spans="1:31" x14ac:dyDescent="0.2">
      <c r="A41">
        <v>40</v>
      </c>
      <c r="B41" t="s">
        <v>41</v>
      </c>
      <c r="C41" s="6">
        <v>1</v>
      </c>
      <c r="D41" s="2">
        <v>50</v>
      </c>
      <c r="E41" s="7">
        <v>3</v>
      </c>
      <c r="F41" s="6">
        <v>1</v>
      </c>
      <c r="G41" s="2">
        <v>50</v>
      </c>
      <c r="H41" s="7">
        <v>3</v>
      </c>
      <c r="I41" s="8">
        <v>1</v>
      </c>
      <c r="J41" s="2">
        <v>80</v>
      </c>
      <c r="K41" s="7">
        <v>4</v>
      </c>
      <c r="L41" s="8">
        <v>1</v>
      </c>
      <c r="M41" s="2">
        <v>50</v>
      </c>
      <c r="N41" s="7">
        <v>4</v>
      </c>
      <c r="O41" s="9">
        <v>1</v>
      </c>
      <c r="P41" s="2">
        <v>70</v>
      </c>
      <c r="Q41" s="7">
        <v>3</v>
      </c>
      <c r="R41" s="8">
        <v>1</v>
      </c>
      <c r="S41" s="2">
        <v>70</v>
      </c>
      <c r="T41" s="7">
        <v>4</v>
      </c>
      <c r="AA41" t="str">
        <f t="shared" si="0"/>
        <v xml:space="preserve">Jara </v>
      </c>
      <c r="AB41">
        <f t="shared" si="1"/>
        <v>6</v>
      </c>
      <c r="AC41">
        <f t="shared" si="2"/>
        <v>370</v>
      </c>
      <c r="AD41">
        <f t="shared" si="3"/>
        <v>21</v>
      </c>
      <c r="AE41">
        <v>3</v>
      </c>
    </row>
    <row r="42" spans="1:31" x14ac:dyDescent="0.2">
      <c r="A42">
        <v>41</v>
      </c>
      <c r="B42" t="s">
        <v>42</v>
      </c>
      <c r="C42" s="8">
        <v>1</v>
      </c>
      <c r="D42" s="2">
        <v>50</v>
      </c>
      <c r="E42" s="7">
        <v>4</v>
      </c>
      <c r="F42" s="6">
        <v>1</v>
      </c>
      <c r="G42" s="2">
        <v>70</v>
      </c>
      <c r="H42" s="7">
        <v>3</v>
      </c>
      <c r="I42" s="8">
        <v>1</v>
      </c>
      <c r="J42" s="2">
        <v>50</v>
      </c>
      <c r="K42" s="7">
        <v>4</v>
      </c>
      <c r="L42" s="8">
        <v>1</v>
      </c>
      <c r="M42" s="2">
        <v>50</v>
      </c>
      <c r="N42" s="7">
        <v>3</v>
      </c>
      <c r="O42" s="9">
        <v>1</v>
      </c>
      <c r="P42" s="2">
        <v>90</v>
      </c>
      <c r="Q42" s="7">
        <v>3</v>
      </c>
      <c r="AA42" t="str">
        <f t="shared" si="0"/>
        <v xml:space="preserve">Þórey </v>
      </c>
      <c r="AB42">
        <f t="shared" si="1"/>
        <v>5</v>
      </c>
      <c r="AC42">
        <f t="shared" si="2"/>
        <v>310</v>
      </c>
      <c r="AD42">
        <f t="shared" si="3"/>
        <v>17</v>
      </c>
      <c r="AE4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2DF5-0BBE-6640-A85A-3123630E92C5}">
  <dimension ref="A1:AE53"/>
  <sheetViews>
    <sheetView topLeftCell="A10" zoomScale="91" zoomScaleNormal="108" workbookViewId="0">
      <selection activeCell="B35" sqref="B35"/>
    </sheetView>
  </sheetViews>
  <sheetFormatPr baseColWidth="10" defaultRowHeight="16" x14ac:dyDescent="0.2"/>
  <cols>
    <col min="2" max="2" width="13.6640625" customWidth="1"/>
    <col min="3" max="3" width="10.83203125" style="6"/>
    <col min="4" max="4" width="10.83203125" style="2"/>
    <col min="5" max="5" width="10.83203125" style="7"/>
    <col min="6" max="6" width="10.83203125" style="9"/>
    <col min="7" max="7" width="10.83203125" style="2"/>
    <col min="8" max="8" width="10.83203125" style="7"/>
    <col min="9" max="9" width="10.83203125" style="9"/>
    <col min="10" max="10" width="10.83203125" style="2"/>
    <col min="11" max="11" width="10.83203125" style="7"/>
    <col min="12" max="12" width="10.83203125" style="9"/>
    <col min="13" max="13" width="10.83203125" style="2"/>
    <col min="14" max="14" width="10.83203125" style="7"/>
    <col min="15" max="15" width="10.83203125" style="9"/>
    <col min="16" max="16" width="10.83203125" style="2"/>
    <col min="17" max="17" width="10.83203125" style="7"/>
    <col min="18" max="18" width="10.83203125" style="9"/>
    <col min="19" max="19" width="10.83203125" style="2"/>
    <col min="20" max="20" width="10.83203125" style="7"/>
    <col min="21" max="21" width="10.83203125" style="9"/>
    <col min="22" max="22" width="10.83203125" style="2"/>
    <col min="23" max="23" width="10.83203125" style="7"/>
    <col min="24" max="24" width="10.83203125" style="9"/>
    <col min="25" max="25" width="10.83203125" style="2"/>
    <col min="26" max="26" width="10.83203125" style="7"/>
  </cols>
  <sheetData>
    <row r="1" spans="1:31" x14ac:dyDescent="0.2">
      <c r="A1" s="1" t="s">
        <v>0</v>
      </c>
      <c r="B1" s="1" t="s">
        <v>1</v>
      </c>
      <c r="C1" s="3" t="s">
        <v>46</v>
      </c>
      <c r="D1" s="4" t="s">
        <v>44</v>
      </c>
      <c r="E1" s="5" t="s">
        <v>47</v>
      </c>
      <c r="F1" s="10" t="s">
        <v>46</v>
      </c>
      <c r="G1" s="4" t="s">
        <v>44</v>
      </c>
      <c r="H1" s="5" t="s">
        <v>47</v>
      </c>
      <c r="I1" s="10" t="s">
        <v>46</v>
      </c>
      <c r="J1" s="4" t="s">
        <v>44</v>
      </c>
      <c r="K1" s="5" t="s">
        <v>47</v>
      </c>
      <c r="L1" s="10" t="s">
        <v>46</v>
      </c>
      <c r="M1" s="4" t="s">
        <v>44</v>
      </c>
      <c r="N1" s="5" t="s">
        <v>47</v>
      </c>
      <c r="O1" s="10" t="s">
        <v>46</v>
      </c>
      <c r="P1" s="4" t="s">
        <v>44</v>
      </c>
      <c r="Q1" s="5" t="s">
        <v>47</v>
      </c>
      <c r="R1" s="10" t="s">
        <v>46</v>
      </c>
      <c r="S1" s="4" t="s">
        <v>44</v>
      </c>
      <c r="T1" s="5" t="s">
        <v>47</v>
      </c>
      <c r="U1" s="10" t="s">
        <v>46</v>
      </c>
      <c r="V1" s="4" t="s">
        <v>44</v>
      </c>
      <c r="W1" s="5" t="s">
        <v>47</v>
      </c>
      <c r="X1" s="10" t="s">
        <v>46</v>
      </c>
      <c r="Y1" s="4" t="s">
        <v>44</v>
      </c>
      <c r="Z1" s="5" t="s">
        <v>47</v>
      </c>
      <c r="AB1" t="s">
        <v>43</v>
      </c>
      <c r="AC1" t="s">
        <v>44</v>
      </c>
      <c r="AD1" t="s">
        <v>47</v>
      </c>
      <c r="AE1" t="s">
        <v>45</v>
      </c>
    </row>
    <row r="2" spans="1:31" x14ac:dyDescent="0.2">
      <c r="A2">
        <v>1</v>
      </c>
      <c r="B2" t="s">
        <v>2</v>
      </c>
      <c r="C2" s="9"/>
      <c r="AA2" t="str">
        <f>B2</f>
        <v>Agnes Anna</v>
      </c>
      <c r="AB2">
        <f>SUM(C2+F2+I2+L2+O2+R2+U2+X2)</f>
        <v>0</v>
      </c>
      <c r="AC2">
        <f>SUM(D2+G2+J2+M2+P2+S2+V2+Y2)</f>
        <v>0</v>
      </c>
      <c r="AD2">
        <f>SUM(E2+H2+K2+N2+Q2+T2+W2+Z2)</f>
        <v>0</v>
      </c>
      <c r="AE2">
        <v>1</v>
      </c>
    </row>
    <row r="3" spans="1:31" x14ac:dyDescent="0.2">
      <c r="A3">
        <v>2</v>
      </c>
      <c r="B3" t="s">
        <v>3</v>
      </c>
      <c r="C3" s="9">
        <v>1</v>
      </c>
      <c r="D3" s="2">
        <v>50</v>
      </c>
      <c r="E3" s="7">
        <v>3</v>
      </c>
      <c r="F3" s="8">
        <v>1</v>
      </c>
      <c r="G3" s="2">
        <v>70</v>
      </c>
      <c r="H3" s="7">
        <v>5</v>
      </c>
      <c r="I3" s="8">
        <v>1</v>
      </c>
      <c r="J3" s="2">
        <v>70</v>
      </c>
      <c r="K3" s="7">
        <v>5.5</v>
      </c>
      <c r="L3" s="8">
        <v>1</v>
      </c>
      <c r="M3" s="2">
        <v>50</v>
      </c>
      <c r="N3" s="7">
        <v>3</v>
      </c>
      <c r="AA3" t="str">
        <f t="shared" ref="AA3:AA42" si="0">B3</f>
        <v xml:space="preserve">Alda/ Miðó </v>
      </c>
      <c r="AB3">
        <f>SUM(C3+F3+I3+L3+O3+R3+U3+X3)</f>
        <v>4</v>
      </c>
      <c r="AC3">
        <f>SUM(D3+G3+J3+M3+P3+S3+V3+Y3)</f>
        <v>240</v>
      </c>
      <c r="AD3">
        <f t="shared" ref="AD3:AD42" si="1">SUM(E3+H3+K3+N3+Q3+T3+W3+Z3)</f>
        <v>16.5</v>
      </c>
      <c r="AE3">
        <v>3</v>
      </c>
    </row>
    <row r="4" spans="1:31" x14ac:dyDescent="0.2">
      <c r="A4">
        <v>3</v>
      </c>
      <c r="B4" t="s">
        <v>4</v>
      </c>
      <c r="C4" s="9">
        <v>1</v>
      </c>
      <c r="D4" s="2">
        <v>70</v>
      </c>
      <c r="E4" s="7">
        <v>3.5</v>
      </c>
      <c r="F4" s="8">
        <v>1</v>
      </c>
      <c r="G4" s="2">
        <v>50</v>
      </c>
      <c r="H4" s="7">
        <v>3.5</v>
      </c>
      <c r="I4" s="8">
        <v>1</v>
      </c>
      <c r="J4" s="2">
        <v>40</v>
      </c>
      <c r="K4" s="7">
        <v>5</v>
      </c>
      <c r="L4" s="8">
        <v>1</v>
      </c>
      <c r="M4" s="2">
        <v>70</v>
      </c>
      <c r="N4" s="7">
        <v>5.5</v>
      </c>
      <c r="AA4" t="str">
        <f t="shared" si="0"/>
        <v xml:space="preserve">Anna Soffía </v>
      </c>
      <c r="AB4">
        <f>SUM(C4+F4+I4+L4+O4+R4+U4+X4)</f>
        <v>4</v>
      </c>
      <c r="AC4">
        <f>SUM(D4+G4+J4+M4+P4+S4+V4+Y4)</f>
        <v>230</v>
      </c>
      <c r="AD4">
        <f t="shared" si="1"/>
        <v>17.5</v>
      </c>
      <c r="AE4">
        <v>3</v>
      </c>
    </row>
    <row r="5" spans="1:31" x14ac:dyDescent="0.2">
      <c r="A5">
        <v>4</v>
      </c>
      <c r="B5" t="s">
        <v>5</v>
      </c>
      <c r="C5" s="9">
        <v>1</v>
      </c>
      <c r="D5" s="2">
        <v>70</v>
      </c>
      <c r="E5" s="7">
        <v>4</v>
      </c>
      <c r="F5" s="8">
        <v>1</v>
      </c>
      <c r="G5" s="2">
        <v>50</v>
      </c>
      <c r="H5" s="7">
        <v>3.5</v>
      </c>
      <c r="I5" s="8">
        <v>1</v>
      </c>
      <c r="J5" s="2">
        <v>50</v>
      </c>
      <c r="K5" s="7">
        <v>3</v>
      </c>
      <c r="L5" s="8">
        <v>1</v>
      </c>
      <c r="M5" s="2">
        <v>70</v>
      </c>
      <c r="N5" s="7">
        <v>5</v>
      </c>
      <c r="O5" s="9">
        <v>1</v>
      </c>
      <c r="P5" s="2">
        <v>40</v>
      </c>
      <c r="Q5" s="7">
        <v>3</v>
      </c>
      <c r="R5" s="8">
        <v>1</v>
      </c>
      <c r="S5" s="2">
        <v>50</v>
      </c>
      <c r="T5" s="7">
        <v>4</v>
      </c>
      <c r="AA5" t="str">
        <f t="shared" si="0"/>
        <v>Arnar Ragn</v>
      </c>
      <c r="AB5">
        <f>SUM(C5+F5+I5+L5+O5+R5+U5+X5)</f>
        <v>6</v>
      </c>
      <c r="AC5">
        <f>SUM(D5+G5+J5+M5+P5+S5+V5+Y5)</f>
        <v>330</v>
      </c>
      <c r="AD5">
        <f t="shared" si="1"/>
        <v>22.5</v>
      </c>
      <c r="AE5">
        <f>SUM(C5+I5+O5+R5)</f>
        <v>4</v>
      </c>
    </row>
    <row r="6" spans="1:31" x14ac:dyDescent="0.2">
      <c r="A6">
        <v>5</v>
      </c>
      <c r="B6" t="s">
        <v>6</v>
      </c>
      <c r="C6" s="9">
        <v>1</v>
      </c>
      <c r="D6" s="2">
        <v>40</v>
      </c>
      <c r="E6" s="7">
        <v>3</v>
      </c>
      <c r="F6" s="8">
        <v>1</v>
      </c>
      <c r="G6" s="2">
        <v>70</v>
      </c>
      <c r="H6" s="7">
        <v>5</v>
      </c>
      <c r="I6" s="8">
        <v>1</v>
      </c>
      <c r="J6" s="2">
        <v>80</v>
      </c>
      <c r="K6" s="7">
        <v>3</v>
      </c>
      <c r="AA6" t="str">
        <f t="shared" si="0"/>
        <v xml:space="preserve">Auður </v>
      </c>
      <c r="AB6">
        <f>SUM(C6+F6+I6+L6+O6+R6+U6+X6)</f>
        <v>3</v>
      </c>
      <c r="AC6">
        <f>SUM(D6+G6+J6+M6+P6+S6+V6+Y6)</f>
        <v>190</v>
      </c>
      <c r="AD6">
        <f t="shared" si="1"/>
        <v>11</v>
      </c>
      <c r="AE6">
        <f>SUM(C6+I6+O6+R6)</f>
        <v>2</v>
      </c>
    </row>
    <row r="7" spans="1:31" x14ac:dyDescent="0.2">
      <c r="A7">
        <v>6</v>
      </c>
      <c r="B7" t="s">
        <v>7</v>
      </c>
      <c r="C7" s="9"/>
      <c r="AA7" t="str">
        <f t="shared" si="0"/>
        <v>Ágústa</v>
      </c>
      <c r="AB7">
        <f>SUM(C7+F7+I7+L7+O7+R7+U7+X7)</f>
        <v>0</v>
      </c>
      <c r="AC7">
        <f>SUM(D7+G7+J7+M7+P7+S7+V7+Y7)</f>
        <v>0</v>
      </c>
      <c r="AD7">
        <f t="shared" si="1"/>
        <v>0</v>
      </c>
      <c r="AE7">
        <f>SUM(C7+I7+O7+R7)</f>
        <v>0</v>
      </c>
    </row>
    <row r="8" spans="1:31" x14ac:dyDescent="0.2">
      <c r="A8">
        <v>7</v>
      </c>
      <c r="B8" t="s">
        <v>8</v>
      </c>
      <c r="C8" s="9"/>
      <c r="AA8" t="str">
        <f t="shared" si="0"/>
        <v>Daníel</v>
      </c>
      <c r="AB8">
        <f>SUM(C8+F8+I8+L8+O8+R8+U8+X8)</f>
        <v>0</v>
      </c>
      <c r="AC8">
        <f>SUM(D8+G8+J8+M8+P8+S8+V8+Y8)</f>
        <v>0</v>
      </c>
      <c r="AD8">
        <f t="shared" si="1"/>
        <v>0</v>
      </c>
      <c r="AE8">
        <f>SUM(C8+I8+O8+R8)</f>
        <v>0</v>
      </c>
    </row>
    <row r="9" spans="1:31" x14ac:dyDescent="0.2">
      <c r="A9">
        <v>8</v>
      </c>
      <c r="B9" t="s">
        <v>9</v>
      </c>
      <c r="C9" s="9">
        <v>1</v>
      </c>
      <c r="D9" s="2">
        <v>70</v>
      </c>
      <c r="E9" s="7">
        <v>4</v>
      </c>
      <c r="F9" s="8">
        <v>1</v>
      </c>
      <c r="G9" s="2">
        <v>50</v>
      </c>
      <c r="H9" s="7">
        <v>3.5</v>
      </c>
      <c r="I9" s="9">
        <v>1</v>
      </c>
      <c r="J9" s="2">
        <v>50</v>
      </c>
      <c r="K9" s="7">
        <v>3</v>
      </c>
      <c r="L9" s="8">
        <v>1</v>
      </c>
      <c r="M9" s="2">
        <v>70</v>
      </c>
      <c r="N9" s="7">
        <v>5.5</v>
      </c>
      <c r="O9" s="8">
        <v>1</v>
      </c>
      <c r="P9" s="2">
        <v>80</v>
      </c>
      <c r="Q9" s="7">
        <v>4</v>
      </c>
      <c r="R9" s="8">
        <v>1</v>
      </c>
      <c r="S9" s="2">
        <v>50</v>
      </c>
      <c r="T9" s="7">
        <v>3</v>
      </c>
      <c r="U9" s="8">
        <v>1</v>
      </c>
      <c r="V9" s="2">
        <v>70</v>
      </c>
      <c r="W9" s="7">
        <v>4</v>
      </c>
      <c r="AA9" t="str">
        <f t="shared" si="0"/>
        <v xml:space="preserve">Elísabet </v>
      </c>
      <c r="AB9">
        <f>SUM(C9+F9+I9+L9+O9+R9+U9+X9)</f>
        <v>7</v>
      </c>
      <c r="AC9">
        <f>SUM(D9+G9+J9+M9+P9+S9+V9+Y9)</f>
        <v>440</v>
      </c>
      <c r="AD9">
        <f t="shared" si="1"/>
        <v>27</v>
      </c>
      <c r="AE9">
        <v>5</v>
      </c>
    </row>
    <row r="10" spans="1:31" x14ac:dyDescent="0.2">
      <c r="A10">
        <v>9</v>
      </c>
      <c r="B10" t="s">
        <v>10</v>
      </c>
      <c r="C10" s="9">
        <v>1</v>
      </c>
      <c r="D10" s="2">
        <v>70</v>
      </c>
      <c r="E10" s="7">
        <v>4</v>
      </c>
      <c r="F10" s="8">
        <v>1</v>
      </c>
      <c r="G10" s="2">
        <v>70</v>
      </c>
      <c r="H10" s="7">
        <v>4</v>
      </c>
      <c r="I10" s="9">
        <v>1</v>
      </c>
      <c r="J10" s="2">
        <v>90</v>
      </c>
      <c r="K10" s="7">
        <v>3</v>
      </c>
      <c r="L10" s="8">
        <v>1</v>
      </c>
      <c r="M10" s="2">
        <v>50</v>
      </c>
      <c r="N10" s="7">
        <v>3</v>
      </c>
      <c r="O10" s="8">
        <v>1</v>
      </c>
      <c r="P10" s="2">
        <v>70</v>
      </c>
      <c r="Q10" s="7">
        <v>4</v>
      </c>
      <c r="R10" s="9">
        <v>1</v>
      </c>
      <c r="S10" s="2">
        <v>80</v>
      </c>
      <c r="T10" s="7">
        <v>3</v>
      </c>
      <c r="U10" s="9">
        <v>1</v>
      </c>
      <c r="V10" s="2">
        <v>90</v>
      </c>
      <c r="W10" s="7">
        <v>3</v>
      </c>
      <c r="AA10" t="str">
        <f t="shared" si="0"/>
        <v xml:space="preserve">Elmar </v>
      </c>
      <c r="AB10">
        <f>SUM(C10+F10+I10+L10+O10+R10+U10+X10)</f>
        <v>7</v>
      </c>
      <c r="AC10">
        <f>SUM(D10+G10+J10+M10+P10+S10+V10+Y10)</f>
        <v>520</v>
      </c>
      <c r="AD10">
        <f t="shared" si="1"/>
        <v>24</v>
      </c>
      <c r="AE10">
        <v>3</v>
      </c>
    </row>
    <row r="11" spans="1:31" x14ac:dyDescent="0.2">
      <c r="A11">
        <v>10</v>
      </c>
      <c r="B11" t="s">
        <v>11</v>
      </c>
      <c r="C11" s="9">
        <v>1</v>
      </c>
      <c r="D11" s="2">
        <v>80</v>
      </c>
      <c r="E11" s="7">
        <v>3.5</v>
      </c>
      <c r="F11" s="9">
        <v>1</v>
      </c>
      <c r="G11" s="2">
        <v>70</v>
      </c>
      <c r="H11" s="7">
        <v>4</v>
      </c>
      <c r="I11" s="8">
        <v>1</v>
      </c>
      <c r="J11" s="2">
        <v>50</v>
      </c>
      <c r="K11" s="7">
        <v>3</v>
      </c>
      <c r="L11" s="8">
        <v>1</v>
      </c>
      <c r="M11" s="2">
        <v>70</v>
      </c>
      <c r="N11" s="7">
        <v>4</v>
      </c>
      <c r="O11" s="9">
        <v>1</v>
      </c>
      <c r="P11" s="2">
        <v>80</v>
      </c>
      <c r="Q11" s="7">
        <v>4</v>
      </c>
      <c r="R11" s="8">
        <v>1</v>
      </c>
      <c r="S11" s="2">
        <v>80</v>
      </c>
      <c r="T11" s="7">
        <v>4</v>
      </c>
      <c r="U11" s="8">
        <v>1</v>
      </c>
      <c r="V11" s="2">
        <v>50</v>
      </c>
      <c r="W11" s="7">
        <v>3</v>
      </c>
      <c r="X11" s="8">
        <v>1</v>
      </c>
      <c r="Y11" s="2">
        <v>70</v>
      </c>
      <c r="Z11" s="7">
        <v>4</v>
      </c>
      <c r="AA11" t="str">
        <f t="shared" si="0"/>
        <v xml:space="preserve">Erna </v>
      </c>
      <c r="AB11">
        <f>SUM(C11+F11+I11+L11+O11+R11+U11+X11)</f>
        <v>8</v>
      </c>
      <c r="AC11">
        <f>SUM(D11+G11+J11+M11+P11+S11+V11+Y11)</f>
        <v>550</v>
      </c>
      <c r="AD11">
        <f t="shared" si="1"/>
        <v>29.5</v>
      </c>
      <c r="AE11">
        <v>5</v>
      </c>
    </row>
    <row r="12" spans="1:31" x14ac:dyDescent="0.2">
      <c r="A12">
        <v>11</v>
      </c>
      <c r="B12" t="s">
        <v>12</v>
      </c>
      <c r="C12" s="9">
        <v>1</v>
      </c>
      <c r="D12" s="2">
        <v>90</v>
      </c>
      <c r="E12" s="7">
        <v>4</v>
      </c>
      <c r="F12" s="9">
        <v>1</v>
      </c>
      <c r="G12" s="2">
        <v>80</v>
      </c>
      <c r="H12" s="7">
        <v>4</v>
      </c>
      <c r="I12" s="8">
        <v>1</v>
      </c>
      <c r="J12" s="2">
        <v>70</v>
      </c>
      <c r="K12" s="7">
        <v>4</v>
      </c>
      <c r="AA12" t="str">
        <f t="shared" si="0"/>
        <v xml:space="preserve">Gaukur </v>
      </c>
      <c r="AB12">
        <f>SUM(C12+F12+I12+L12+O12+R12+U12+X12)</f>
        <v>3</v>
      </c>
      <c r="AC12">
        <f>SUM(D12+G12+J12+M12+P12+S12+V12+Y12)</f>
        <v>240</v>
      </c>
      <c r="AD12">
        <f t="shared" si="1"/>
        <v>12</v>
      </c>
      <c r="AE12">
        <v>1</v>
      </c>
    </row>
    <row r="13" spans="1:31" x14ac:dyDescent="0.2">
      <c r="A13">
        <v>12</v>
      </c>
      <c r="B13" t="s">
        <v>13</v>
      </c>
      <c r="C13" s="8">
        <v>1</v>
      </c>
      <c r="D13" s="2">
        <v>70</v>
      </c>
      <c r="E13" s="7">
        <v>4</v>
      </c>
      <c r="F13" s="8">
        <v>1</v>
      </c>
      <c r="G13" s="2">
        <v>50</v>
      </c>
      <c r="H13" s="7">
        <v>3</v>
      </c>
      <c r="I13" s="9">
        <v>1</v>
      </c>
      <c r="J13" s="2">
        <v>90</v>
      </c>
      <c r="K13" s="7">
        <v>3</v>
      </c>
      <c r="L13" s="8">
        <v>1</v>
      </c>
      <c r="M13" s="2">
        <v>50</v>
      </c>
      <c r="N13" s="7">
        <v>3</v>
      </c>
      <c r="AA13" t="str">
        <f t="shared" si="0"/>
        <v>Gréta</v>
      </c>
      <c r="AB13">
        <f>SUM(C13+F13+I13+L13+O13+R13+U13+X13)</f>
        <v>4</v>
      </c>
      <c r="AC13">
        <f>SUM(D13+G13+J13+M13+P13+S13+V13+Y13)</f>
        <v>260</v>
      </c>
      <c r="AD13">
        <f t="shared" si="1"/>
        <v>13</v>
      </c>
      <c r="AE13">
        <v>3</v>
      </c>
    </row>
    <row r="14" spans="1:31" x14ac:dyDescent="0.2">
      <c r="A14">
        <v>13</v>
      </c>
      <c r="B14" t="s">
        <v>14</v>
      </c>
      <c r="C14" s="8">
        <v>1</v>
      </c>
      <c r="D14" s="2">
        <v>50</v>
      </c>
      <c r="E14" s="7">
        <v>3.5</v>
      </c>
      <c r="F14" s="8">
        <v>1</v>
      </c>
      <c r="G14" s="2">
        <v>50</v>
      </c>
      <c r="H14" s="7">
        <v>3</v>
      </c>
      <c r="I14" s="8">
        <v>1</v>
      </c>
      <c r="J14" s="2">
        <v>50</v>
      </c>
      <c r="K14" s="7">
        <v>3</v>
      </c>
      <c r="L14" s="8">
        <v>1</v>
      </c>
      <c r="M14" s="2">
        <v>70</v>
      </c>
      <c r="N14" s="7">
        <v>4</v>
      </c>
      <c r="AA14" t="str">
        <f t="shared" si="0"/>
        <v xml:space="preserve">Guðný  </v>
      </c>
      <c r="AB14">
        <f>SUM(C14+F14+I14+L14+O14+R14+U14+X14)</f>
        <v>4</v>
      </c>
      <c r="AC14">
        <f>SUM(D14+G14+J14+M14+P14+S14+V14+Y14)</f>
        <v>220</v>
      </c>
      <c r="AD14">
        <f t="shared" si="1"/>
        <v>13.5</v>
      </c>
      <c r="AE14">
        <v>4</v>
      </c>
    </row>
    <row r="15" spans="1:31" x14ac:dyDescent="0.2">
      <c r="A15">
        <v>14</v>
      </c>
      <c r="B15" t="s">
        <v>15</v>
      </c>
      <c r="C15" s="8">
        <v>1</v>
      </c>
      <c r="D15" s="2">
        <v>70</v>
      </c>
      <c r="E15" s="7">
        <v>4</v>
      </c>
      <c r="F15" s="8">
        <v>1</v>
      </c>
      <c r="G15" s="2">
        <v>70</v>
      </c>
      <c r="H15" s="7">
        <v>5.5</v>
      </c>
      <c r="I15" s="9">
        <v>1</v>
      </c>
      <c r="J15" s="2">
        <v>80</v>
      </c>
      <c r="K15" s="7">
        <v>3</v>
      </c>
      <c r="L15" s="8">
        <v>1</v>
      </c>
      <c r="M15" s="2">
        <v>50</v>
      </c>
      <c r="N15" s="7">
        <v>3</v>
      </c>
      <c r="O15" s="8">
        <v>1</v>
      </c>
      <c r="P15" s="2">
        <v>70</v>
      </c>
      <c r="Q15" s="7">
        <v>4</v>
      </c>
      <c r="AA15" t="str">
        <f t="shared" si="0"/>
        <v xml:space="preserve">Hólmfríður </v>
      </c>
      <c r="AB15">
        <f>SUM(C15+F15+I15+L15+O15+R15+U15+X15)</f>
        <v>5</v>
      </c>
      <c r="AC15">
        <f>SUM(D15+G15+J15+M15+P15+S15+V15+Y15)</f>
        <v>340</v>
      </c>
      <c r="AD15">
        <f t="shared" si="1"/>
        <v>19.5</v>
      </c>
      <c r="AE15">
        <v>4</v>
      </c>
    </row>
    <row r="16" spans="1:31" x14ac:dyDescent="0.2">
      <c r="A16">
        <v>15</v>
      </c>
      <c r="B16" t="s">
        <v>16</v>
      </c>
      <c r="C16" s="9">
        <v>1</v>
      </c>
      <c r="D16" s="2">
        <v>70</v>
      </c>
      <c r="E16" s="7">
        <v>3.5</v>
      </c>
      <c r="F16" s="8">
        <v>1</v>
      </c>
      <c r="G16" s="2">
        <v>50</v>
      </c>
      <c r="H16" s="7">
        <v>3.5</v>
      </c>
      <c r="I16" s="9">
        <v>1</v>
      </c>
      <c r="J16" s="2">
        <v>80</v>
      </c>
      <c r="K16" s="7">
        <v>3</v>
      </c>
      <c r="L16" s="8">
        <v>1</v>
      </c>
      <c r="M16" s="2">
        <v>70</v>
      </c>
      <c r="N16" s="7">
        <v>4</v>
      </c>
      <c r="O16" s="9">
        <v>1</v>
      </c>
      <c r="P16" s="2">
        <v>80</v>
      </c>
      <c r="Q16" s="7">
        <v>3</v>
      </c>
      <c r="R16" s="9">
        <v>1</v>
      </c>
      <c r="S16" s="2">
        <v>90</v>
      </c>
      <c r="T16" s="7">
        <v>3</v>
      </c>
      <c r="U16" s="8">
        <v>1</v>
      </c>
      <c r="V16" s="2">
        <v>50</v>
      </c>
      <c r="W16" s="7">
        <v>4</v>
      </c>
      <c r="AA16" t="str">
        <f t="shared" si="0"/>
        <v>Hrafnkell</v>
      </c>
      <c r="AB16">
        <f>SUM(C16+F16+I16+L16+O16+R16+U16+X16)</f>
        <v>7</v>
      </c>
      <c r="AC16">
        <f>SUM(D16+G16+J16+M16+P16+S16+V16+Y16)</f>
        <v>490</v>
      </c>
      <c r="AD16">
        <f t="shared" si="1"/>
        <v>24</v>
      </c>
      <c r="AE16">
        <v>3</v>
      </c>
    </row>
    <row r="17" spans="1:31" x14ac:dyDescent="0.2">
      <c r="A17">
        <v>16</v>
      </c>
      <c r="B17" t="s">
        <v>17</v>
      </c>
      <c r="C17" s="8">
        <v>1</v>
      </c>
      <c r="D17" s="2">
        <v>50</v>
      </c>
      <c r="E17" s="7">
        <v>3.5</v>
      </c>
      <c r="F17" s="8">
        <v>1</v>
      </c>
      <c r="G17" s="2">
        <v>50</v>
      </c>
      <c r="H17" s="7">
        <v>3</v>
      </c>
      <c r="I17" s="9">
        <v>1</v>
      </c>
      <c r="J17" s="2">
        <v>50</v>
      </c>
      <c r="K17" s="7">
        <v>3</v>
      </c>
      <c r="L17" s="8">
        <v>1</v>
      </c>
      <c r="M17" s="2">
        <v>50</v>
      </c>
      <c r="N17" s="7">
        <v>4</v>
      </c>
      <c r="O17" s="9">
        <v>1</v>
      </c>
      <c r="P17" s="2">
        <v>50</v>
      </c>
      <c r="Q17" s="7">
        <v>3</v>
      </c>
      <c r="AA17" t="str">
        <f t="shared" si="0"/>
        <v xml:space="preserve">Hrannar </v>
      </c>
      <c r="AB17">
        <f>SUM(C17+F17+I17+L17+O17+R17+U17+X17)</f>
        <v>5</v>
      </c>
      <c r="AC17">
        <f>SUM(D17+G17+J17+M17+P17+S17+V17+Y17)</f>
        <v>250</v>
      </c>
      <c r="AD17">
        <f t="shared" si="1"/>
        <v>16.5</v>
      </c>
      <c r="AE17">
        <v>3</v>
      </c>
    </row>
    <row r="18" spans="1:31" x14ac:dyDescent="0.2">
      <c r="A18">
        <v>17</v>
      </c>
      <c r="B18" t="s">
        <v>18</v>
      </c>
      <c r="C18" s="9">
        <v>1</v>
      </c>
      <c r="D18" s="2">
        <v>70</v>
      </c>
      <c r="E18" s="7">
        <v>3.5</v>
      </c>
      <c r="F18" s="9">
        <v>1</v>
      </c>
      <c r="G18" s="2">
        <v>50</v>
      </c>
      <c r="H18" s="7">
        <v>3.5</v>
      </c>
      <c r="I18" s="8">
        <v>1</v>
      </c>
      <c r="J18" s="2">
        <v>50</v>
      </c>
      <c r="K18" s="7">
        <v>3</v>
      </c>
      <c r="L18" s="8">
        <v>1</v>
      </c>
      <c r="M18" s="2">
        <v>70</v>
      </c>
      <c r="N18" s="7">
        <v>4</v>
      </c>
      <c r="O18" s="8">
        <v>1</v>
      </c>
      <c r="P18" s="2">
        <v>50</v>
      </c>
      <c r="Q18" s="7">
        <v>4</v>
      </c>
      <c r="R18" s="9">
        <v>1</v>
      </c>
      <c r="S18" s="2">
        <v>50</v>
      </c>
      <c r="T18" s="7">
        <v>3</v>
      </c>
      <c r="AA18" t="str">
        <f t="shared" si="0"/>
        <v xml:space="preserve">Jórunn  </v>
      </c>
      <c r="AB18">
        <f>SUM(C18+F18+I18+L18+O18+R18+U18+X18)</f>
        <v>6</v>
      </c>
      <c r="AC18">
        <f>SUM(D18+G18+J18+M18+P18+S18+V18+Y18)</f>
        <v>340</v>
      </c>
      <c r="AD18">
        <f t="shared" si="1"/>
        <v>21</v>
      </c>
      <c r="AE18">
        <v>3</v>
      </c>
    </row>
    <row r="19" spans="1:31" x14ac:dyDescent="0.2">
      <c r="A19">
        <v>18</v>
      </c>
      <c r="B19" t="s">
        <v>19</v>
      </c>
      <c r="C19" s="8">
        <v>1</v>
      </c>
      <c r="D19" s="2">
        <v>50</v>
      </c>
      <c r="E19" s="7">
        <v>4</v>
      </c>
      <c r="F19" s="9">
        <v>1</v>
      </c>
      <c r="G19" s="2">
        <v>50</v>
      </c>
      <c r="H19" s="7">
        <v>3</v>
      </c>
      <c r="AA19" t="str">
        <f t="shared" si="0"/>
        <v>Katrín Hel</v>
      </c>
      <c r="AB19">
        <f>SUM(C19+F19+I19+L19+O19+R19+U19+X19)</f>
        <v>2</v>
      </c>
      <c r="AC19">
        <f>SUM(D19+G19+J19+M19+P19+S19+V19+Y19)</f>
        <v>100</v>
      </c>
      <c r="AD19">
        <f t="shared" si="1"/>
        <v>7</v>
      </c>
      <c r="AE19">
        <v>1</v>
      </c>
    </row>
    <row r="20" spans="1:31" x14ac:dyDescent="0.2">
      <c r="A20">
        <v>19</v>
      </c>
      <c r="B20" t="s">
        <v>20</v>
      </c>
      <c r="C20" s="9">
        <v>1</v>
      </c>
      <c r="D20" s="2">
        <v>70</v>
      </c>
      <c r="E20" s="7">
        <v>3.5</v>
      </c>
      <c r="F20" s="9">
        <v>1</v>
      </c>
      <c r="G20" s="2">
        <v>50</v>
      </c>
      <c r="H20" s="7">
        <v>3.5</v>
      </c>
      <c r="I20" s="8">
        <v>1</v>
      </c>
      <c r="J20" s="2">
        <v>50</v>
      </c>
      <c r="K20" s="7">
        <v>3</v>
      </c>
      <c r="L20" s="9">
        <v>1</v>
      </c>
      <c r="M20" s="2">
        <v>50</v>
      </c>
      <c r="N20" s="7">
        <v>3</v>
      </c>
      <c r="O20" s="8">
        <v>1</v>
      </c>
      <c r="P20" s="2">
        <v>70</v>
      </c>
      <c r="Q20" s="7">
        <v>4</v>
      </c>
      <c r="R20" s="8">
        <v>1</v>
      </c>
      <c r="S20" s="2">
        <v>70</v>
      </c>
      <c r="T20" s="7">
        <v>4</v>
      </c>
      <c r="U20" s="9">
        <v>1</v>
      </c>
      <c r="V20" s="2">
        <v>50</v>
      </c>
      <c r="W20" s="7">
        <v>3</v>
      </c>
      <c r="AA20" t="str">
        <f t="shared" si="0"/>
        <v xml:space="preserve">Katrín Sig </v>
      </c>
      <c r="AB20">
        <f>SUM(C20+F20+I20+L20+O20+R20+U20+X20)</f>
        <v>7</v>
      </c>
      <c r="AC20">
        <f>SUM(D20+G20+J20+M20+P20+S20+V20+Y20)</f>
        <v>410</v>
      </c>
      <c r="AD20">
        <f t="shared" si="1"/>
        <v>24</v>
      </c>
      <c r="AE20">
        <v>3</v>
      </c>
    </row>
    <row r="21" spans="1:31" x14ac:dyDescent="0.2">
      <c r="A21">
        <v>20</v>
      </c>
      <c r="B21" t="s">
        <v>21</v>
      </c>
      <c r="C21" s="9">
        <v>1</v>
      </c>
      <c r="D21" s="2">
        <v>70</v>
      </c>
      <c r="E21" s="7">
        <v>3.5</v>
      </c>
      <c r="F21" s="9">
        <v>1</v>
      </c>
      <c r="G21" s="2">
        <v>50</v>
      </c>
      <c r="H21" s="7">
        <v>3.5</v>
      </c>
      <c r="I21" s="9">
        <v>1</v>
      </c>
      <c r="J21" s="2">
        <v>50</v>
      </c>
      <c r="K21" s="7">
        <v>3</v>
      </c>
      <c r="AA21" t="str">
        <f t="shared" si="0"/>
        <v xml:space="preserve">Laufey </v>
      </c>
      <c r="AB21">
        <f>SUM(C21+F21+I21+L21+O21+R21+U21+X21)</f>
        <v>3</v>
      </c>
      <c r="AC21">
        <f>SUM(D21+G21+J21+M21+P21+S21+V21+Y21)</f>
        <v>170</v>
      </c>
      <c r="AD21">
        <f t="shared" si="1"/>
        <v>10</v>
      </c>
      <c r="AE21">
        <v>0</v>
      </c>
    </row>
    <row r="22" spans="1:31" x14ac:dyDescent="0.2">
      <c r="A22">
        <v>21</v>
      </c>
      <c r="B22" t="s">
        <v>22</v>
      </c>
      <c r="C22" s="9"/>
      <c r="AA22" t="str">
        <f t="shared" si="0"/>
        <v>Magnea</v>
      </c>
      <c r="AB22">
        <f>SUM(C22+F22+I22+L22+O22+R22+U22+X22)</f>
        <v>0</v>
      </c>
      <c r="AC22">
        <f>SUM(D22+G22+J22+M22+P22+S22+V22+Y22)</f>
        <v>0</v>
      </c>
      <c r="AD22">
        <f t="shared" si="1"/>
        <v>0</v>
      </c>
      <c r="AE22">
        <v>0</v>
      </c>
    </row>
    <row r="23" spans="1:31" x14ac:dyDescent="0.2">
      <c r="A23">
        <v>22</v>
      </c>
      <c r="B23" t="s">
        <v>23</v>
      </c>
      <c r="C23" s="9">
        <v>1</v>
      </c>
      <c r="D23" s="2">
        <v>70</v>
      </c>
      <c r="E23" s="7">
        <v>3.5</v>
      </c>
      <c r="F23" s="8">
        <v>1</v>
      </c>
      <c r="G23" s="2">
        <v>70</v>
      </c>
      <c r="H23" s="7">
        <v>4</v>
      </c>
      <c r="I23" s="9">
        <v>1</v>
      </c>
      <c r="J23" s="2">
        <v>50</v>
      </c>
      <c r="K23" s="7">
        <v>3.5</v>
      </c>
      <c r="L23" s="9">
        <v>1</v>
      </c>
      <c r="M23" s="2">
        <v>50</v>
      </c>
      <c r="N23" s="7">
        <v>3</v>
      </c>
      <c r="O23" s="8">
        <v>1</v>
      </c>
      <c r="P23" s="2">
        <v>70</v>
      </c>
      <c r="Q23" s="7">
        <v>4</v>
      </c>
      <c r="R23" s="8">
        <v>1</v>
      </c>
      <c r="S23" s="2">
        <v>50</v>
      </c>
      <c r="T23" s="7">
        <v>4</v>
      </c>
      <c r="U23" s="8">
        <v>1</v>
      </c>
      <c r="V23" s="2">
        <v>80</v>
      </c>
      <c r="W23" s="7">
        <v>3</v>
      </c>
      <c r="AA23" t="str">
        <f t="shared" si="0"/>
        <v xml:space="preserve">Magnús  </v>
      </c>
      <c r="AB23">
        <f>SUM(C23+F23+I23+L23+O23+R23+U23+X23)</f>
        <v>7</v>
      </c>
      <c r="AC23">
        <f>SUM(D23+G23+J23+M23+P23+S23+V23+Y23)</f>
        <v>440</v>
      </c>
      <c r="AD23">
        <f t="shared" si="1"/>
        <v>25</v>
      </c>
      <c r="AE23">
        <v>4</v>
      </c>
    </row>
    <row r="24" spans="1:31" x14ac:dyDescent="0.2">
      <c r="A24">
        <v>23</v>
      </c>
      <c r="B24" t="s">
        <v>24</v>
      </c>
      <c r="C24" s="9">
        <v>1</v>
      </c>
      <c r="D24" s="2">
        <v>70</v>
      </c>
      <c r="E24" s="7">
        <v>4</v>
      </c>
      <c r="AA24" t="str">
        <f t="shared" si="0"/>
        <v>Margrét Lára</v>
      </c>
      <c r="AB24">
        <f>SUM(C24+F24+I24+L24+O24+R24+U24+X24)</f>
        <v>1</v>
      </c>
      <c r="AC24">
        <f>SUM(D24+G24+J24+M24+P24+S24+V24+Y24)</f>
        <v>70</v>
      </c>
      <c r="AD24">
        <f t="shared" si="1"/>
        <v>4</v>
      </c>
      <c r="AE24">
        <v>0</v>
      </c>
    </row>
    <row r="25" spans="1:31" x14ac:dyDescent="0.2">
      <c r="A25">
        <v>24</v>
      </c>
      <c r="B25" t="s">
        <v>25</v>
      </c>
      <c r="C25" s="9">
        <v>1</v>
      </c>
      <c r="D25" s="2">
        <v>70</v>
      </c>
      <c r="E25" s="7">
        <v>3.5</v>
      </c>
      <c r="F25" s="9">
        <v>1</v>
      </c>
      <c r="G25" s="2">
        <v>50</v>
      </c>
      <c r="H25" s="7">
        <v>3.5</v>
      </c>
      <c r="AA25" t="str">
        <f t="shared" si="0"/>
        <v>Orri</v>
      </c>
      <c r="AB25">
        <f>SUM(C25+F25+I25+L25+O25+R25+U25+X25)</f>
        <v>2</v>
      </c>
      <c r="AC25">
        <f>SUM(D25+G25+J25+M25+P25+S25+V25+Y25)</f>
        <v>120</v>
      </c>
      <c r="AD25">
        <f t="shared" si="1"/>
        <v>7</v>
      </c>
      <c r="AE25">
        <v>0</v>
      </c>
    </row>
    <row r="26" spans="1:31" x14ac:dyDescent="0.2">
      <c r="A26">
        <v>25</v>
      </c>
      <c r="B26" t="s">
        <v>26</v>
      </c>
      <c r="C26" s="9"/>
      <c r="AA26" t="str">
        <f t="shared" si="0"/>
        <v>Palli</v>
      </c>
      <c r="AB26">
        <f>SUM(C26+F26+I26+L26+O26+R26+U26+X26)</f>
        <v>0</v>
      </c>
      <c r="AC26">
        <f>SUM(D26+G26+J26+M26+P26+S26+V26+Y26)</f>
        <v>0</v>
      </c>
      <c r="AD26">
        <f t="shared" si="1"/>
        <v>0</v>
      </c>
      <c r="AE26">
        <v>0</v>
      </c>
    </row>
    <row r="27" spans="1:31" x14ac:dyDescent="0.2">
      <c r="A27">
        <v>26</v>
      </c>
      <c r="B27" t="s">
        <v>27</v>
      </c>
      <c r="C27" s="9">
        <v>1</v>
      </c>
      <c r="D27" s="2">
        <v>70</v>
      </c>
      <c r="E27" s="7">
        <v>3.5</v>
      </c>
      <c r="F27" s="8">
        <v>1</v>
      </c>
      <c r="G27" s="2">
        <v>70</v>
      </c>
      <c r="H27" s="7">
        <v>4</v>
      </c>
      <c r="I27" s="8">
        <v>1</v>
      </c>
      <c r="J27" s="2">
        <v>50</v>
      </c>
      <c r="K27" s="7">
        <v>3</v>
      </c>
      <c r="L27" s="8">
        <v>1</v>
      </c>
      <c r="M27" s="2">
        <v>50</v>
      </c>
      <c r="N27" s="7">
        <v>4</v>
      </c>
      <c r="AA27" t="str">
        <f t="shared" si="0"/>
        <v xml:space="preserve">Rut </v>
      </c>
      <c r="AB27">
        <f>SUM(C27+F27+I27+L27+O27+R27+U27+X27)</f>
        <v>4</v>
      </c>
      <c r="AC27">
        <f>SUM(D27+G27+J27+M27+P27+S27+V27+Y27)</f>
        <v>240</v>
      </c>
      <c r="AD27">
        <f t="shared" si="1"/>
        <v>14.5</v>
      </c>
      <c r="AE27">
        <v>3</v>
      </c>
    </row>
    <row r="28" spans="1:31" x14ac:dyDescent="0.2">
      <c r="A28">
        <v>27</v>
      </c>
      <c r="B28" t="s">
        <v>28</v>
      </c>
      <c r="C28" s="9">
        <v>1</v>
      </c>
      <c r="D28" s="2">
        <v>50</v>
      </c>
      <c r="E28" s="7">
        <v>3.5</v>
      </c>
      <c r="F28" s="8">
        <v>1</v>
      </c>
      <c r="G28" s="2">
        <v>60</v>
      </c>
      <c r="H28" s="7">
        <v>5</v>
      </c>
      <c r="I28" s="9">
        <v>1</v>
      </c>
      <c r="J28" s="2">
        <v>50</v>
      </c>
      <c r="K28" s="7">
        <v>3</v>
      </c>
      <c r="L28" s="8">
        <v>1</v>
      </c>
      <c r="M28" s="2">
        <v>70</v>
      </c>
      <c r="N28" s="7">
        <v>4</v>
      </c>
      <c r="O28" s="8">
        <v>1</v>
      </c>
      <c r="P28" s="2">
        <v>50</v>
      </c>
      <c r="Q28" s="7">
        <v>4</v>
      </c>
      <c r="R28" s="9">
        <v>1</v>
      </c>
      <c r="S28" s="2">
        <v>50</v>
      </c>
      <c r="T28" s="7">
        <v>3</v>
      </c>
      <c r="AA28" t="str">
        <f t="shared" si="0"/>
        <v>Sara B</v>
      </c>
      <c r="AB28">
        <f>SUM(C28+F28+I28+L28+O28+R28+U28+X28)</f>
        <v>6</v>
      </c>
      <c r="AC28">
        <f>SUM(D28+G28+J28+M28+P28+S28+V28+Y28)</f>
        <v>330</v>
      </c>
      <c r="AD28">
        <f t="shared" si="1"/>
        <v>22.5</v>
      </c>
      <c r="AE28">
        <v>3</v>
      </c>
    </row>
    <row r="29" spans="1:31" x14ac:dyDescent="0.2">
      <c r="A29">
        <v>28</v>
      </c>
      <c r="B29" t="s">
        <v>29</v>
      </c>
      <c r="C29" s="9">
        <v>1</v>
      </c>
      <c r="D29" s="2">
        <v>70</v>
      </c>
      <c r="E29" s="7">
        <v>3.5</v>
      </c>
      <c r="F29" s="9">
        <v>1</v>
      </c>
      <c r="G29" s="2">
        <v>70</v>
      </c>
      <c r="H29" s="7">
        <v>4</v>
      </c>
      <c r="I29" s="9">
        <v>1</v>
      </c>
      <c r="J29" s="2">
        <v>50</v>
      </c>
      <c r="K29" s="7">
        <v>3.5</v>
      </c>
      <c r="L29" s="8">
        <v>1</v>
      </c>
      <c r="M29" s="2">
        <v>50</v>
      </c>
      <c r="N29" s="7">
        <v>3</v>
      </c>
      <c r="O29" s="9">
        <v>1</v>
      </c>
      <c r="P29" s="2">
        <v>50</v>
      </c>
      <c r="Q29" s="7">
        <v>3</v>
      </c>
      <c r="R29" s="8">
        <v>1</v>
      </c>
      <c r="S29" s="2">
        <v>50</v>
      </c>
      <c r="T29" s="7">
        <v>4</v>
      </c>
      <c r="U29" s="9">
        <v>1</v>
      </c>
      <c r="V29" s="2">
        <v>50</v>
      </c>
      <c r="W29" s="7">
        <v>3</v>
      </c>
      <c r="AA29" t="str">
        <f t="shared" si="0"/>
        <v xml:space="preserve">Sara Júlía </v>
      </c>
      <c r="AB29">
        <f>SUM(C29+F29+I29+L29+O29+R29+U29+X29)</f>
        <v>7</v>
      </c>
      <c r="AC29">
        <f>SUM(D29+G29+J29+M29+P29+S29+V29+Y29)</f>
        <v>390</v>
      </c>
      <c r="AD29">
        <f t="shared" si="1"/>
        <v>24</v>
      </c>
      <c r="AE29">
        <v>2</v>
      </c>
    </row>
    <row r="30" spans="1:31" x14ac:dyDescent="0.2">
      <c r="A30">
        <v>29</v>
      </c>
      <c r="B30" t="s">
        <v>30</v>
      </c>
      <c r="C30" s="9">
        <v>1</v>
      </c>
      <c r="D30" s="2">
        <v>70</v>
      </c>
      <c r="E30" s="7">
        <v>3.5</v>
      </c>
      <c r="F30" s="9">
        <v>1</v>
      </c>
      <c r="G30" s="2">
        <v>50</v>
      </c>
      <c r="H30" s="7">
        <v>3.5</v>
      </c>
      <c r="I30" s="8">
        <v>1</v>
      </c>
      <c r="J30" s="2">
        <v>70</v>
      </c>
      <c r="K30" s="7">
        <v>5.5</v>
      </c>
      <c r="L30" s="8">
        <v>1</v>
      </c>
      <c r="M30" s="2">
        <v>70</v>
      </c>
      <c r="N30" s="7">
        <v>4</v>
      </c>
      <c r="O30" s="9">
        <v>1</v>
      </c>
      <c r="P30" s="2">
        <v>50</v>
      </c>
      <c r="Q30" s="7">
        <v>3</v>
      </c>
      <c r="AA30" t="str">
        <f t="shared" si="0"/>
        <v xml:space="preserve">Selma </v>
      </c>
      <c r="AB30">
        <f>SUM(C30+F30+I30+L30+O30+R30+U30+X30)</f>
        <v>5</v>
      </c>
      <c r="AC30">
        <f>SUM(D30+G30+J30+M30+P30+S30+V30+Y30)</f>
        <v>310</v>
      </c>
      <c r="AD30">
        <f t="shared" si="1"/>
        <v>19.5</v>
      </c>
      <c r="AE30">
        <v>2</v>
      </c>
    </row>
    <row r="31" spans="1:31" x14ac:dyDescent="0.2">
      <c r="A31">
        <v>30</v>
      </c>
      <c r="B31" t="s">
        <v>31</v>
      </c>
      <c r="C31" s="9">
        <v>1</v>
      </c>
      <c r="D31" s="2">
        <v>70</v>
      </c>
      <c r="E31" s="7">
        <v>3.5</v>
      </c>
      <c r="F31" s="8">
        <v>1</v>
      </c>
      <c r="G31" s="2">
        <v>50</v>
      </c>
      <c r="H31" s="7">
        <v>3.5</v>
      </c>
      <c r="I31" s="8">
        <v>1</v>
      </c>
      <c r="J31" s="2">
        <v>80</v>
      </c>
      <c r="K31" s="7">
        <v>4</v>
      </c>
      <c r="L31" s="8">
        <v>1</v>
      </c>
      <c r="M31" s="2">
        <v>50</v>
      </c>
      <c r="N31" s="7">
        <v>4</v>
      </c>
      <c r="AA31" t="str">
        <f t="shared" si="0"/>
        <v xml:space="preserve">Sigríður </v>
      </c>
      <c r="AB31">
        <f>SUM(C31+F31+I31+L31+O31+R31+U31+X31)</f>
        <v>4</v>
      </c>
      <c r="AC31">
        <f>SUM(D31+G31+J31+M31+P31+S31+V31+Y31)</f>
        <v>250</v>
      </c>
      <c r="AD31">
        <f t="shared" si="1"/>
        <v>15</v>
      </c>
      <c r="AE31">
        <v>3</v>
      </c>
    </row>
    <row r="32" spans="1:31" x14ac:dyDescent="0.2">
      <c r="A32">
        <v>31</v>
      </c>
      <c r="B32" t="s">
        <v>32</v>
      </c>
      <c r="C32" s="9">
        <v>1</v>
      </c>
      <c r="D32" s="2">
        <v>70</v>
      </c>
      <c r="E32" s="7">
        <v>4</v>
      </c>
      <c r="F32" s="9">
        <v>1</v>
      </c>
      <c r="G32" s="2">
        <v>50</v>
      </c>
      <c r="H32" s="7">
        <v>3.5</v>
      </c>
      <c r="I32" s="8">
        <v>1</v>
      </c>
      <c r="J32" s="2">
        <v>50</v>
      </c>
      <c r="K32" s="7">
        <v>3</v>
      </c>
      <c r="L32" s="8">
        <v>1</v>
      </c>
      <c r="M32" s="2">
        <v>70</v>
      </c>
      <c r="N32" s="7">
        <v>5</v>
      </c>
      <c r="AA32" t="str">
        <f t="shared" si="0"/>
        <v>Sveinn</v>
      </c>
      <c r="AB32">
        <f>SUM(C32+F32+I32+L32+O32+R32+U32+X32)</f>
        <v>4</v>
      </c>
      <c r="AC32">
        <f>SUM(D32+G32+J32+M32+P32+S32+V32+Y32)</f>
        <v>240</v>
      </c>
      <c r="AD32">
        <f t="shared" si="1"/>
        <v>15.5</v>
      </c>
      <c r="AE32">
        <v>2</v>
      </c>
    </row>
    <row r="33" spans="1:31" x14ac:dyDescent="0.2">
      <c r="A33">
        <v>32</v>
      </c>
      <c r="B33" t="s">
        <v>33</v>
      </c>
      <c r="C33" s="9">
        <v>1</v>
      </c>
      <c r="D33" s="2">
        <v>70</v>
      </c>
      <c r="E33" s="7">
        <v>3.5</v>
      </c>
      <c r="F33" s="9">
        <v>1</v>
      </c>
      <c r="G33" s="2">
        <v>70</v>
      </c>
      <c r="H33" s="7">
        <v>4</v>
      </c>
      <c r="I33" s="9">
        <v>1</v>
      </c>
      <c r="J33" s="2">
        <v>50</v>
      </c>
      <c r="K33" s="7">
        <v>3.5</v>
      </c>
      <c r="L33" s="8">
        <v>1</v>
      </c>
      <c r="M33" s="2">
        <v>80</v>
      </c>
      <c r="N33" s="7">
        <v>4</v>
      </c>
      <c r="O33" s="8">
        <v>1</v>
      </c>
      <c r="P33" s="2">
        <v>70</v>
      </c>
      <c r="Q33" s="7">
        <v>5.5</v>
      </c>
      <c r="R33" s="9">
        <v>1</v>
      </c>
      <c r="S33" s="2">
        <v>50</v>
      </c>
      <c r="T33" s="7">
        <v>3</v>
      </c>
      <c r="AA33" t="str">
        <f t="shared" si="0"/>
        <v xml:space="preserve">Sæmundur </v>
      </c>
      <c r="AB33">
        <f>SUM(C33+F33+I33+L33+O33+R33+U33+X33)</f>
        <v>6</v>
      </c>
      <c r="AC33">
        <f>SUM(D33+G33+J33+M33+P33+S33+V33+Y33)</f>
        <v>390</v>
      </c>
      <c r="AD33">
        <f t="shared" si="1"/>
        <v>23.5</v>
      </c>
      <c r="AE33">
        <v>2</v>
      </c>
    </row>
    <row r="34" spans="1:31" x14ac:dyDescent="0.2">
      <c r="A34">
        <v>33</v>
      </c>
      <c r="B34" t="s">
        <v>34</v>
      </c>
      <c r="C34" s="8">
        <v>1</v>
      </c>
      <c r="D34" s="2">
        <v>70</v>
      </c>
      <c r="E34" s="7">
        <v>5.5</v>
      </c>
      <c r="F34" s="8">
        <v>1</v>
      </c>
      <c r="G34" s="2">
        <v>100</v>
      </c>
      <c r="H34" s="7">
        <v>4</v>
      </c>
      <c r="I34" s="9">
        <v>1</v>
      </c>
      <c r="J34" s="2">
        <v>50</v>
      </c>
      <c r="K34" s="7">
        <v>3</v>
      </c>
      <c r="L34" s="8">
        <v>1</v>
      </c>
      <c r="M34" s="2">
        <v>80</v>
      </c>
      <c r="N34" s="7">
        <v>3</v>
      </c>
      <c r="AA34" t="str">
        <f t="shared" si="0"/>
        <v xml:space="preserve">Valdís </v>
      </c>
      <c r="AB34">
        <f>SUM(C34+F34+I34+L34+O34+R34+U34+X34)</f>
        <v>4</v>
      </c>
      <c r="AC34">
        <f>SUM(D34+G34+J34+M34+P34+S34+V34+Y34)</f>
        <v>300</v>
      </c>
      <c r="AD34">
        <f t="shared" si="1"/>
        <v>15.5</v>
      </c>
      <c r="AE34">
        <v>3</v>
      </c>
    </row>
    <row r="35" spans="1:31" x14ac:dyDescent="0.2">
      <c r="A35">
        <v>34</v>
      </c>
      <c r="B35" t="s">
        <v>35</v>
      </c>
      <c r="C35" s="9"/>
      <c r="AA35" t="str">
        <f t="shared" si="0"/>
        <v>Vero</v>
      </c>
      <c r="AB35">
        <f>SUM(C35+F35+I35+L35+O35+R35+U35+X35)</f>
        <v>0</v>
      </c>
      <c r="AC35">
        <f>SUM(D35+G35+J35+M35+P35+S35+V35+Y35)</f>
        <v>0</v>
      </c>
      <c r="AD35">
        <f t="shared" si="1"/>
        <v>0</v>
      </c>
      <c r="AE35">
        <v>0</v>
      </c>
    </row>
    <row r="36" spans="1:31" x14ac:dyDescent="0.2">
      <c r="A36">
        <v>35</v>
      </c>
      <c r="B36" t="s">
        <v>36</v>
      </c>
      <c r="C36" s="9">
        <v>1</v>
      </c>
      <c r="D36" s="2">
        <v>70</v>
      </c>
      <c r="E36" s="7">
        <v>4</v>
      </c>
      <c r="F36" s="8">
        <v>1</v>
      </c>
      <c r="G36" s="2">
        <v>50</v>
      </c>
      <c r="H36" s="7">
        <v>3.5</v>
      </c>
      <c r="I36" s="9">
        <v>1</v>
      </c>
      <c r="J36" s="2">
        <v>50</v>
      </c>
      <c r="K36" s="7">
        <v>3</v>
      </c>
      <c r="L36" s="8">
        <v>1</v>
      </c>
      <c r="M36" s="2">
        <v>70</v>
      </c>
      <c r="N36" s="7">
        <v>4</v>
      </c>
      <c r="O36" s="8">
        <v>1</v>
      </c>
      <c r="P36" s="2">
        <v>80</v>
      </c>
      <c r="Q36" s="7">
        <v>4</v>
      </c>
      <c r="R36" s="8">
        <v>1</v>
      </c>
      <c r="S36" s="2">
        <v>70</v>
      </c>
      <c r="T36" s="7">
        <v>4</v>
      </c>
      <c r="U36" s="9">
        <v>1</v>
      </c>
      <c r="V36" s="2">
        <v>50</v>
      </c>
      <c r="W36" s="7">
        <v>3</v>
      </c>
      <c r="AA36" t="str">
        <f t="shared" si="0"/>
        <v xml:space="preserve">Védís </v>
      </c>
      <c r="AB36">
        <f>SUM(C36+F36+I36+L36+O36+R36+U36+X36)</f>
        <v>7</v>
      </c>
      <c r="AC36">
        <f>SUM(D36+G36+J36+M36+P36+S36+V36+Y36)</f>
        <v>440</v>
      </c>
      <c r="AD36">
        <f t="shared" si="1"/>
        <v>25.5</v>
      </c>
      <c r="AE36">
        <v>4</v>
      </c>
    </row>
    <row r="37" spans="1:31" x14ac:dyDescent="0.2">
      <c r="A37">
        <v>36</v>
      </c>
      <c r="B37" t="s">
        <v>37</v>
      </c>
      <c r="C37" s="9">
        <v>1</v>
      </c>
      <c r="D37" s="2">
        <v>70</v>
      </c>
      <c r="E37" s="7">
        <v>4</v>
      </c>
      <c r="F37" s="8">
        <v>1</v>
      </c>
      <c r="G37" s="2">
        <v>50</v>
      </c>
      <c r="H37" s="7">
        <v>3.5</v>
      </c>
      <c r="I37" s="8">
        <v>1</v>
      </c>
      <c r="J37" s="2">
        <v>70</v>
      </c>
      <c r="K37" s="7">
        <v>5</v>
      </c>
      <c r="L37" s="8">
        <v>1</v>
      </c>
      <c r="M37" s="2">
        <v>80</v>
      </c>
      <c r="N37" s="7">
        <v>4</v>
      </c>
      <c r="O37" s="8">
        <v>1</v>
      </c>
      <c r="P37" s="2">
        <v>70</v>
      </c>
      <c r="Q37" s="7">
        <v>4</v>
      </c>
      <c r="AA37" t="str">
        <f t="shared" si="0"/>
        <v xml:space="preserve">Unnar </v>
      </c>
      <c r="AB37">
        <f>SUM(C37+F37+I37+L37+O37+R37+U37+X37)</f>
        <v>5</v>
      </c>
      <c r="AC37">
        <f>SUM(D37+G37+J37+M37+P37+S37+V37+Y37)</f>
        <v>340</v>
      </c>
      <c r="AD37">
        <f t="shared" si="1"/>
        <v>20.5</v>
      </c>
      <c r="AE37">
        <v>4</v>
      </c>
    </row>
    <row r="38" spans="1:31" x14ac:dyDescent="0.2">
      <c r="A38">
        <v>37</v>
      </c>
      <c r="B38" t="s">
        <v>38</v>
      </c>
      <c r="C38" s="9">
        <v>1</v>
      </c>
      <c r="D38" s="2">
        <v>70</v>
      </c>
      <c r="E38" s="7">
        <v>4</v>
      </c>
      <c r="F38" s="8">
        <v>1</v>
      </c>
      <c r="G38" s="2">
        <v>50</v>
      </c>
      <c r="H38" s="7">
        <v>3.5</v>
      </c>
      <c r="I38" s="9">
        <v>1</v>
      </c>
      <c r="J38" s="2">
        <v>50</v>
      </c>
      <c r="K38" s="7">
        <v>3</v>
      </c>
      <c r="L38" s="8">
        <v>1</v>
      </c>
      <c r="M38" s="2">
        <v>70</v>
      </c>
      <c r="N38" s="7">
        <v>4</v>
      </c>
      <c r="O38" s="9">
        <v>1</v>
      </c>
      <c r="P38" s="2">
        <v>80</v>
      </c>
      <c r="Q38" s="7">
        <v>3</v>
      </c>
      <c r="R38" s="8">
        <v>1</v>
      </c>
      <c r="S38" s="2">
        <v>50</v>
      </c>
      <c r="T38" s="7">
        <v>4</v>
      </c>
      <c r="AA38" t="str">
        <f t="shared" si="0"/>
        <v>Ömmi</v>
      </c>
      <c r="AB38">
        <f>SUM(C38+F38+I38+L38+O38+R38+U38+X38)</f>
        <v>6</v>
      </c>
      <c r="AC38">
        <f>SUM(D38+G38+J38+M38+P38+S38+V38+Y38)</f>
        <v>370</v>
      </c>
      <c r="AD38">
        <f t="shared" si="1"/>
        <v>21.5</v>
      </c>
      <c r="AE38">
        <v>3</v>
      </c>
    </row>
    <row r="39" spans="1:31" x14ac:dyDescent="0.2">
      <c r="A39">
        <v>38</v>
      </c>
      <c r="B39" t="s">
        <v>39</v>
      </c>
      <c r="C39" s="8">
        <v>1</v>
      </c>
      <c r="D39" s="2">
        <v>70</v>
      </c>
      <c r="E39" s="7">
        <v>4</v>
      </c>
      <c r="F39" s="8">
        <v>1</v>
      </c>
      <c r="G39" s="2">
        <v>50</v>
      </c>
      <c r="H39" s="7">
        <v>3.5</v>
      </c>
      <c r="I39" s="8">
        <v>1</v>
      </c>
      <c r="J39" s="2">
        <v>70</v>
      </c>
      <c r="K39" s="7">
        <v>5.5</v>
      </c>
      <c r="L39" s="8">
        <v>1</v>
      </c>
      <c r="M39" s="2">
        <v>70</v>
      </c>
      <c r="N39" s="7">
        <v>4</v>
      </c>
      <c r="AA39" t="str">
        <f t="shared" si="0"/>
        <v xml:space="preserve">Arnar </v>
      </c>
      <c r="AB39">
        <f>SUM(C39+F39+I39+L39+O39+R39+U39+X39)</f>
        <v>4</v>
      </c>
      <c r="AC39">
        <f>SUM(D39+G39+J39+M39+P39+S39+V39+Y39)</f>
        <v>260</v>
      </c>
      <c r="AD39">
        <f t="shared" si="1"/>
        <v>17</v>
      </c>
      <c r="AE39">
        <v>4</v>
      </c>
    </row>
    <row r="40" spans="1:31" x14ac:dyDescent="0.2">
      <c r="A40">
        <v>39</v>
      </c>
      <c r="B40" t="s">
        <v>40</v>
      </c>
      <c r="C40" s="9">
        <v>1</v>
      </c>
      <c r="D40" s="2">
        <v>70</v>
      </c>
      <c r="E40" s="7">
        <v>3.5</v>
      </c>
      <c r="F40" s="8">
        <v>1</v>
      </c>
      <c r="G40" s="2">
        <v>50</v>
      </c>
      <c r="H40" s="7">
        <v>3</v>
      </c>
      <c r="I40" s="9">
        <v>1</v>
      </c>
      <c r="J40" s="2">
        <v>80</v>
      </c>
      <c r="K40" s="7">
        <v>3</v>
      </c>
      <c r="L40" s="8">
        <v>1</v>
      </c>
      <c r="M40" s="2">
        <v>70</v>
      </c>
      <c r="N40" s="7">
        <v>4</v>
      </c>
      <c r="O40" s="9">
        <v>1</v>
      </c>
      <c r="P40" s="2">
        <v>50</v>
      </c>
      <c r="Q40" s="7">
        <v>3</v>
      </c>
      <c r="R40" s="8">
        <v>1</v>
      </c>
      <c r="S40" s="2">
        <v>80</v>
      </c>
      <c r="T40" s="7">
        <v>3</v>
      </c>
      <c r="AA40" t="str">
        <f t="shared" si="0"/>
        <v xml:space="preserve">Róbert </v>
      </c>
      <c r="AB40">
        <f>SUM(C40+F40+I40+L40+O40+R40+U40+X40)</f>
        <v>6</v>
      </c>
      <c r="AC40">
        <f>SUM(D40+G40+J40+M40+P40+S40+V40+Y40)</f>
        <v>400</v>
      </c>
      <c r="AD40">
        <f t="shared" si="1"/>
        <v>19.5</v>
      </c>
      <c r="AE40">
        <v>3</v>
      </c>
    </row>
    <row r="41" spans="1:31" x14ac:dyDescent="0.2">
      <c r="A41">
        <v>40</v>
      </c>
      <c r="B41" t="s">
        <v>41</v>
      </c>
      <c r="C41" s="9">
        <v>1</v>
      </c>
      <c r="D41" s="2">
        <v>70</v>
      </c>
      <c r="E41" s="7">
        <v>4</v>
      </c>
      <c r="F41" s="9">
        <v>1</v>
      </c>
      <c r="G41" s="2">
        <v>50</v>
      </c>
      <c r="H41" s="7">
        <v>3</v>
      </c>
      <c r="I41" s="8">
        <v>1</v>
      </c>
      <c r="J41" s="2">
        <v>70</v>
      </c>
      <c r="K41" s="7">
        <v>4</v>
      </c>
      <c r="L41" s="8">
        <v>1</v>
      </c>
      <c r="M41" s="2">
        <v>50</v>
      </c>
      <c r="N41" s="7">
        <v>4</v>
      </c>
      <c r="AA41" t="str">
        <f t="shared" si="0"/>
        <v xml:space="preserve">Jara </v>
      </c>
      <c r="AB41">
        <f>SUM(C41+F41+I41+L41+O41+R41+U41+X41)</f>
        <v>4</v>
      </c>
      <c r="AC41">
        <f>SUM(D41+G41+J41+M41+P41+S41+V41+Y41)</f>
        <v>240</v>
      </c>
      <c r="AD41">
        <f t="shared" si="1"/>
        <v>15</v>
      </c>
      <c r="AE41">
        <v>2</v>
      </c>
    </row>
    <row r="42" spans="1:31" x14ac:dyDescent="0.2">
      <c r="A42">
        <v>41</v>
      </c>
      <c r="B42" t="s">
        <v>42</v>
      </c>
      <c r="C42" s="9">
        <v>1</v>
      </c>
      <c r="D42" s="2">
        <v>50</v>
      </c>
      <c r="E42" s="7">
        <v>3.5</v>
      </c>
      <c r="F42" s="8">
        <v>1</v>
      </c>
      <c r="G42" s="2">
        <v>60</v>
      </c>
      <c r="H42" s="7">
        <v>5</v>
      </c>
      <c r="I42" s="8">
        <v>1</v>
      </c>
      <c r="J42" s="2">
        <v>70</v>
      </c>
      <c r="K42" s="7">
        <v>5</v>
      </c>
      <c r="L42" s="8">
        <v>1</v>
      </c>
      <c r="M42" s="2">
        <v>80</v>
      </c>
      <c r="N42" s="7">
        <v>4</v>
      </c>
      <c r="O42" s="8">
        <v>1</v>
      </c>
      <c r="P42" s="2">
        <v>50</v>
      </c>
      <c r="Q42" s="7">
        <v>3</v>
      </c>
      <c r="AA42" t="str">
        <f t="shared" si="0"/>
        <v xml:space="preserve">Þórey </v>
      </c>
      <c r="AB42">
        <f>SUM(C42+F42+I42+L42+O42+R42+U42+X42)</f>
        <v>5</v>
      </c>
      <c r="AC42">
        <f>SUM(D42+G42+J42+M42+P42+S42+V42+Y42)</f>
        <v>310</v>
      </c>
      <c r="AD42">
        <f t="shared" si="1"/>
        <v>20.5</v>
      </c>
      <c r="AE42">
        <v>4</v>
      </c>
    </row>
    <row r="43" spans="1:31" x14ac:dyDescent="0.2">
      <c r="C43" s="9"/>
    </row>
    <row r="44" spans="1:31" x14ac:dyDescent="0.2">
      <c r="C44" s="9"/>
    </row>
    <row r="45" spans="1:31" x14ac:dyDescent="0.2">
      <c r="C45" s="9"/>
    </row>
    <row r="46" spans="1:31" x14ac:dyDescent="0.2">
      <c r="C46" s="9"/>
    </row>
    <row r="47" spans="1:31" x14ac:dyDescent="0.2">
      <c r="C47" s="9"/>
    </row>
    <row r="48" spans="1:31" x14ac:dyDescent="0.2">
      <c r="C48" s="9"/>
    </row>
    <row r="49" spans="3:3" x14ac:dyDescent="0.2">
      <c r="C49" s="9"/>
    </row>
    <row r="50" spans="3:3" x14ac:dyDescent="0.2">
      <c r="C50" s="9"/>
    </row>
    <row r="51" spans="3:3" x14ac:dyDescent="0.2">
      <c r="C51" s="9"/>
    </row>
    <row r="52" spans="3:3" x14ac:dyDescent="0.2">
      <c r="C52" s="9"/>
    </row>
    <row r="53" spans="3:3" x14ac:dyDescent="0.2">
      <c r="C5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mars</vt:lpstr>
      <vt:lpstr>april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Björk Ragnarsdóttir</dc:creator>
  <cp:lastModifiedBy>Sara Björk Ragnarsdóttir</cp:lastModifiedBy>
  <dcterms:created xsi:type="dcterms:W3CDTF">2026-05-01T22:36:44Z</dcterms:created>
  <dcterms:modified xsi:type="dcterms:W3CDTF">2026-05-02T14:31:44Z</dcterms:modified>
</cp:coreProperties>
</file>