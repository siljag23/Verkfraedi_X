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13_ncr:1_{C2B80EF4-E5DA-41CA-8921-B99158C1D29C}" xr6:coauthVersionLast="47" xr6:coauthVersionMax="47" xr10:uidLastSave="{00000000-0000-0000-0000-000000000000}"/>
  <bookViews>
    <workbookView xWindow="-90" yWindow="0" windowWidth="9780" windowHeight="11370" firstSheet="3" activeTab="3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ScoreKeys" sheetId="7" r:id="rId5"/>
    <sheet name="SkillsetScores" sheetId="8" r:id="rId6"/>
    <sheet name="EventTypes" sheetId="5" r:id="rId7"/>
    <sheet name="Score kras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7" l="1"/>
  <c r="C29" i="7" s="1"/>
  <c r="C27" i="7"/>
  <c r="G25" i="6"/>
  <c r="G26" i="6" s="1"/>
  <c r="G27" i="6" s="1"/>
  <c r="D3" i="3"/>
  <c r="D4" i="3"/>
  <c r="D5" i="3"/>
  <c r="D2" i="3"/>
  <c r="E2" i="3"/>
  <c r="I3" i="3"/>
  <c r="I4" i="3"/>
  <c r="H3" i="3"/>
  <c r="H4" i="3"/>
  <c r="H5" i="3"/>
  <c r="G3" i="3"/>
  <c r="G4" i="3"/>
  <c r="G5" i="3"/>
  <c r="F3" i="3"/>
  <c r="F4" i="3"/>
  <c r="F5" i="3"/>
  <c r="E3" i="3"/>
  <c r="E4" i="3"/>
  <c r="E5" i="3"/>
  <c r="C27" i="6"/>
  <c r="C28" i="6" s="1"/>
  <c r="C29" i="6" s="1"/>
  <c r="C21" i="6"/>
  <c r="C22" i="6" s="1"/>
  <c r="C23" i="6" s="1"/>
  <c r="C24" i="6" s="1"/>
  <c r="F2" i="3"/>
  <c r="I2" i="3"/>
  <c r="H2" i="3"/>
  <c r="G2" i="3"/>
</calcChain>
</file>

<file path=xl/sharedStrings.xml><?xml version="1.0" encoding="utf-8"?>
<sst xmlns="http://schemas.openxmlformats.org/spreadsheetml/2006/main" count="240" uniqueCount="127">
  <si>
    <t xml:space="preserve">1.5.2024 </t>
  </si>
  <si>
    <t xml:space="preserve">2.5.2024 </t>
  </si>
  <si>
    <t xml:space="preserve">3.5.2024 </t>
  </si>
  <si>
    <t>4.5.2024</t>
  </si>
  <si>
    <t>5.5.2024</t>
  </si>
  <si>
    <t>6.5.2024</t>
  </si>
  <si>
    <t>7.5.2024</t>
  </si>
  <si>
    <t>8.5.2024</t>
  </si>
  <si>
    <t>9.5.2024</t>
  </si>
  <si>
    <t>10.5.2024</t>
  </si>
  <si>
    <t>11.5.2024</t>
  </si>
  <si>
    <t>12.5.2024</t>
  </si>
  <si>
    <t>13.5.2024</t>
  </si>
  <si>
    <t>14.5.2024</t>
  </si>
  <si>
    <t>15.5.2024</t>
  </si>
  <si>
    <t>16.5.2024</t>
  </si>
  <si>
    <t>17.5.2024</t>
  </si>
  <si>
    <t>18.5.2024</t>
  </si>
  <si>
    <t>19.5.2024</t>
  </si>
  <si>
    <t>20.5.2024</t>
  </si>
  <si>
    <t>22.5.2024</t>
  </si>
  <si>
    <t>21.5.2024</t>
  </si>
  <si>
    <t>23.5.2024</t>
  </si>
  <si>
    <t>24.5.2024</t>
  </si>
  <si>
    <t>25.5.2024</t>
  </si>
  <si>
    <t>26.5.2024</t>
  </si>
  <si>
    <t>27.5.2024</t>
  </si>
  <si>
    <t>28.5.2024</t>
  </si>
  <si>
    <t>29.5.2024</t>
  </si>
  <si>
    <t>30.5.204</t>
  </si>
  <si>
    <t>31.5.2024</t>
  </si>
  <si>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</si>
  <si>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</si>
  <si>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</si>
  <si>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</si>
  <si>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</si>
  <si>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</si>
  <si>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</si>
  <si>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</si>
  <si>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</si>
  <si>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</si>
  <si>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</si>
  <si>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1.5.2024</t>
  </si>
  <si>
    <t xml:space="preserve">How to 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</si>
  <si>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</si>
  <si>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</si>
  <si>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</si>
  <si>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</si>
  <si>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</si>
  <si>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</si>
  <si>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</si>
  <si>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</si>
  <si>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</si>
  <si>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</si>
  <si>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</si>
  <si>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</si>
  <si>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</si>
  <si>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</si>
  <si>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</si>
  <si>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</si>
  <si>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Mínus</t>
  </si>
  <si>
    <t>Helgi, kominn með aðra helgi</t>
  </si>
  <si>
    <t>Ef þú ert ekki kominn með neina vakt um helgi</t>
  </si>
  <si>
    <t>Ef þú ert kominn með 1 helgi</t>
  </si>
  <si>
    <t>Ef þú ert kominn með 2 helgar</t>
  </si>
  <si>
    <t>Ef þú ert kominn með 3 helgar</t>
  </si>
  <si>
    <t>Ef þú ert kominn með 4 helgar</t>
  </si>
  <si>
    <t>Helgi, var með helgi síðast</t>
  </si>
  <si>
    <t>Ef þú varst með 1 helgi</t>
  </si>
  <si>
    <t>Ef þú varst með 2 helgar</t>
  </si>
  <si>
    <t>Ef þú varst með 3 helgar</t>
  </si>
  <si>
    <t>Ef þú varst með 4 helgar</t>
  </si>
  <si>
    <t>Ef þú varst með 5 helgar</t>
  </si>
  <si>
    <t>Salur</t>
  </si>
  <si>
    <t>Ef þú ert búinn að fá 1 vakt í þessum sal á tímabilinu</t>
  </si>
  <si>
    <t>Ef þú ert búinn að fá 2 vaktir í þessum sal á tímabilinu</t>
  </si>
  <si>
    <t>Ef þú ert búinn að fá 3 vaktir í þessum sal á tímabilinu</t>
  </si>
  <si>
    <t>Ef þú ert búinn að fá 4 vaktir í þessum sal á tímabilinu</t>
  </si>
  <si>
    <t>Ef þú ert búinn að fá 5 vaktir í þessum sal á tímabilinu</t>
  </si>
  <si>
    <t>Vika</t>
  </si>
  <si>
    <t>Ef þú ert búinn að fá 1 vakt í þessari viku</t>
  </si>
  <si>
    <t>Ef þú ert búinn að fá 2 vaktir í þessari viku</t>
  </si>
  <si>
    <t>Ef þú ert búinn að fá 3 vaktir í þessari viku</t>
  </si>
  <si>
    <t>Ef þú ert búinn að fá 4 vaktir í þessari viku</t>
  </si>
  <si>
    <t>Ef þú ert búinn að fá 5 vaktir í þessari viku</t>
  </si>
  <si>
    <t>Hvað hún er löng</t>
  </si>
  <si>
    <t>Ef þú ert búinn að fá 1 vakt með þessa lengd</t>
  </si>
  <si>
    <t>Ef þú ert búinn að fá 2 vaktir með þessa lengd</t>
  </si>
  <si>
    <t>Ef þú ert búinn að fá 3 vaktir með þessa lengd</t>
  </si>
  <si>
    <t>Ef þú ert búinn að fá 4 vaktir með þessa lengd</t>
  </si>
  <si>
    <t>Langar vaktir</t>
  </si>
  <si>
    <t>Ef þú ert búinn að fá vakt á þessu tímabili sem er lengri en 6 klst.</t>
  </si>
  <si>
    <t>Með hverjum?</t>
  </si>
  <si>
    <t>Skillset</t>
  </si>
  <si>
    <t>Ef þarf skillset 2 en þú ert 1</t>
  </si>
  <si>
    <t>Ef þarf skillset 2 en þú ert 3</t>
  </si>
  <si>
    <t>Ef þarf skillset 3 og þú ert</t>
  </si>
  <si>
    <t>Ef þarf skillset 2 og þú ert</t>
  </si>
  <si>
    <t>Ef þarf skillset 1 og þú ert</t>
  </si>
  <si>
    <t>Upprás</t>
  </si>
  <si>
    <t>EmployeeID</t>
  </si>
  <si>
    <t>EmployeeName</t>
  </si>
  <si>
    <t>Ásdís</t>
  </si>
  <si>
    <t>Össur</t>
  </si>
  <si>
    <t>Helgi</t>
  </si>
  <si>
    <t>11.05.2024</t>
  </si>
  <si>
    <t>31.05.2024</t>
  </si>
  <si>
    <t>EventCategory</t>
  </si>
  <si>
    <t>Solo</t>
  </si>
  <si>
    <t>Barna</t>
  </si>
  <si>
    <t>Party</t>
  </si>
  <si>
    <t>Basic</t>
  </si>
  <si>
    <t>Weekend</t>
  </si>
  <si>
    <t>RuleType</t>
  </si>
  <si>
    <t>Weekend_last_period</t>
  </si>
  <si>
    <t>Shifts_this_week</t>
  </si>
  <si>
    <t>Shifs_this_length</t>
  </si>
  <si>
    <t>Shift_over_six_hours</t>
  </si>
  <si>
    <t>Key</t>
  </si>
  <si>
    <t>Score</t>
  </si>
  <si>
    <t>ReqSkillset</t>
  </si>
  <si>
    <t>EmpSkillset</t>
  </si>
  <si>
    <t>Ef þarf skillset 1 en þú ert ekki</t>
  </si>
  <si>
    <t>Ef þarf skillset 3 og þú ert 1 eða 2</t>
  </si>
  <si>
    <t>Req_this_shift</t>
  </si>
  <si>
    <t>Category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</si>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</sst>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5"/>
  <sheetViews>
    <sheetView zoomScale="73" zoomScaleNormal="71" workbookViewId="0">
      <selection activeCell="D9" sqref="D9"/>
    </sheetView>
  </sheetViews>
  <sheetFormatPr defaultRowHeight="14.5" x14ac:dyDescent="0.35"/>
  <cols>
    <col min="2" max="2" width="13.453125" bestFit="1" customWidth="1"/>
    <col min="3" max="3" width="11.81640625" customWidth="1"/>
    <col min="4" max="4" width="12.90625" bestFit="1" customWidth="1"/>
    <col min="5" max="5" width="11.81640625" customWidth="1"/>
    <col min="9" max="9" width="10.26953125" bestFit="1" customWidth="1"/>
    <col min="10" max="10" width="10.1796875" bestFit="1" customWidth="1"/>
    <col min="11" max="11" width="10.08984375" bestFit="1" customWidth="1"/>
    <col min="12" max="12" width="9.6328125" bestFit="1" customWidth="1"/>
  </cols>
  <sheetData>
    <row r="1" spans="1:12" x14ac:dyDescent="0.35">
      <c r="A1" s="2" t="s">
        <v>58</v>
      </c>
      <c r="B1" s="2" t="s">
        <v>31</v>
      </c>
      <c r="C1" s="2" t="s">
        <v>52</v>
      </c>
      <c r="D1" s="2" t="s">
        <v>107</v>
      </c>
      <c r="E1" s="2" t="s">
        <v>59</v>
      </c>
      <c r="F1" s="2" t="s">
        <v>32</v>
      </c>
      <c r="G1" s="2" t="s">
        <v>53</v>
      </c>
      <c r="H1" s="2" t="s">
        <v>54</v>
      </c>
      <c r="I1" s="2" t="s">
        <v>55</v>
      </c>
      <c r="J1" s="2" t="s">
        <v>41</v>
      </c>
      <c r="K1" s="2" t="s">
        <v>56</v>
      </c>
      <c r="L1" s="2" t="s">
        <v>57</v>
      </c>
    </row>
    <row r="2" spans="1:12" x14ac:dyDescent="0.35">
      <c r="A2">
        <v>1</v>
      </c>
      <c r="B2" t="s">
        <v>99</v>
      </c>
      <c r="C2" t="s">
        <v>34</v>
      </c>
      <c r="D2" t="str">
        <f>_xlfn.XLOOKUP(C2,EventTypes!A:A,EventTypes!B:B,"")</f>
        <v>Basic</v>
      </c>
      <c r="E2">
        <f>_xlfn.XLOOKUP(C2,EventTypes!A:A,EventTypes!D:D,"")</f>
        <v>40</v>
      </c>
      <c r="F2" t="str">
        <f>_xlfn.XLOOKUP(C2,EventTypes!A:A,EventTypes!C:C,"")</f>
        <v>KL</v>
      </c>
      <c r="G2">
        <f>_xlfn.XLOOKUP(C2,EventTypes!A:A,EventTypes!E:E,"")</f>
        <v>0</v>
      </c>
      <c r="H2">
        <f>_xlfn.XLOOKUP(C2,EventTypes!A:A,EventTypes!F:F,"")</f>
        <v>1</v>
      </c>
      <c r="I2">
        <f>_xlfn.XLOOKUP(C2,EventTypes!A:A,EventTypes!G:G,"")</f>
        <v>2</v>
      </c>
      <c r="J2" t="s">
        <v>42</v>
      </c>
      <c r="K2" s="1">
        <v>0.625</v>
      </c>
      <c r="L2" s="1">
        <v>0.75</v>
      </c>
    </row>
    <row r="3" spans="1:12" x14ac:dyDescent="0.35">
      <c r="A3">
        <v>8</v>
      </c>
      <c r="B3" t="s">
        <v>44</v>
      </c>
      <c r="C3" t="s">
        <v>44</v>
      </c>
      <c r="D3" t="str">
        <f>_xlfn.XLOOKUP(C3,EventTypes!A:A,EventTypes!B:B,"")</f>
        <v>Solo</v>
      </c>
      <c r="E3">
        <f>_xlfn.XLOOKUP(C3,EventTypes!A:A,EventTypes!D:D,"")</f>
        <v>80</v>
      </c>
      <c r="F3" t="str">
        <f>_xlfn.XLOOKUP(C3,EventTypes!A:A,EventTypes!C:C,"")</f>
        <v>NL</v>
      </c>
      <c r="G3">
        <f>_xlfn.XLOOKUP(C3,EventTypes!A:A,EventTypes!E:E,"")</f>
        <v>0</v>
      </c>
      <c r="H3">
        <f>_xlfn.XLOOKUP(C3,EventTypes!A:A,EventTypes!F:F,"")</f>
        <v>0</v>
      </c>
      <c r="I3">
        <f>_xlfn.XLOOKUP(C3,EventTypes!A:A,EventTypes!G:G,"")</f>
        <v>1</v>
      </c>
      <c r="J3" t="s">
        <v>6</v>
      </c>
      <c r="K3" s="1">
        <v>0.66666666666666663</v>
      </c>
      <c r="L3" s="1">
        <v>0.83333333333333337</v>
      </c>
    </row>
    <row r="4" spans="1:12" x14ac:dyDescent="0.35">
      <c r="A4">
        <v>14</v>
      </c>
      <c r="B4" t="s">
        <v>43</v>
      </c>
      <c r="C4" t="s">
        <v>40</v>
      </c>
      <c r="D4" t="str">
        <f>_xlfn.XLOOKUP(C4,EventTypes!A:A,EventTypes!B:B,"")</f>
        <v>Solo</v>
      </c>
      <c r="E4">
        <f>_xlfn.XLOOKUP(C4,EventTypes!A:A,EventTypes!D:D,"")</f>
        <v>100</v>
      </c>
      <c r="F4" t="str">
        <f>_xlfn.XLOOKUP(C4,EventTypes!A:A,EventTypes!C:C,"")</f>
        <v>KL</v>
      </c>
      <c r="G4">
        <f>_xlfn.XLOOKUP(C4,EventTypes!A:A,EventTypes!E:E,"")</f>
        <v>0</v>
      </c>
      <c r="H4">
        <f>_xlfn.XLOOKUP(C4,EventTypes!A:A,EventTypes!F:F,"")</f>
        <v>0</v>
      </c>
      <c r="I4">
        <f>_xlfn.XLOOKUP(C4,EventTypes!A:A,EventTypes!G:G,"")</f>
        <v>1</v>
      </c>
      <c r="J4" t="s">
        <v>105</v>
      </c>
      <c r="K4" s="1">
        <v>0.75</v>
      </c>
      <c r="L4" s="1">
        <v>0.83333333333333337</v>
      </c>
    </row>
    <row r="5" spans="1:12" x14ac:dyDescent="0.35">
      <c r="A5">
        <v>30</v>
      </c>
      <c r="B5" t="s">
        <v>47</v>
      </c>
      <c r="C5" t="s">
        <v>47</v>
      </c>
      <c r="D5" t="str">
        <f>_xlfn.XLOOKUP(C5,EventTypes!A:A,EventTypes!B:B,"")</f>
        <v>Fatahengi</v>
      </c>
      <c r="E5">
        <f>_xlfn.XLOOKUP(C5,EventTypes!A:A,EventTypes!D:D,"")</f>
        <v>100</v>
      </c>
      <c r="F5" t="str">
        <f>_xlfn.XLOOKUP(C5,EventTypes!A:A,EventTypes!C:C,"")</f>
        <v>Fatahengi</v>
      </c>
      <c r="G5">
        <f>_xlfn.XLOOKUP(C5,EventTypes!A:A,EventTypes!E:E,"")</f>
        <v>0</v>
      </c>
      <c r="H5">
        <f>_xlfn.XLOOKUP(C5,EventTypes!A:A,EventTypes!F:F,"")</f>
        <v>0</v>
      </c>
      <c r="I5">
        <v>2</v>
      </c>
      <c r="J5" t="s">
        <v>106</v>
      </c>
      <c r="K5" s="1">
        <v>0.75</v>
      </c>
      <c r="L5" s="1">
        <v>0.91666666666666663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"/>
  <sheetViews>
    <sheetView zoomScale="111" workbookViewId="0">
      <selection activeCell="B4" sqref="B4"/>
    </sheetView>
  </sheetViews>
  <sheetFormatPr defaultRowHeight="14.5" x14ac:dyDescent="0.35"/>
  <cols>
    <col min="1" max="1" width="11.7265625" bestFit="1" customWidth="1"/>
    <col min="2" max="2" width="14" bestFit="1" customWidth="1"/>
    <col min="3" max="3" width="7.08984375" bestFit="1" customWidth="1"/>
  </cols>
  <sheetData>
    <row r="1" spans="1:3" x14ac:dyDescent="0.35">
      <c r="A1" s="2" t="s">
        <v>100</v>
      </c>
      <c r="B1" s="2" t="s">
        <v>101</v>
      </c>
      <c r="C1" s="2" t="s">
        <v>93</v>
      </c>
    </row>
    <row r="2" spans="1:3" x14ac:dyDescent="0.35">
      <c r="A2">
        <v>1</v>
      </c>
      <c r="B2" t="s">
        <v>102</v>
      </c>
      <c r="C2">
        <v>1</v>
      </c>
    </row>
    <row r="3" spans="1:3" x14ac:dyDescent="0.35">
      <c r="A3">
        <v>2</v>
      </c>
      <c r="B3" t="s">
        <v>104</v>
      </c>
      <c r="C3">
        <v>2</v>
      </c>
    </row>
    <row r="4" spans="1:3" x14ac:dyDescent="0.35">
      <c r="A4">
        <v>3</v>
      </c>
      <c r="B4" t="s">
        <v>103</v>
      </c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"/>
  <sheetViews>
    <sheetView zoomScale="59" workbookViewId="0">
      <selection sqref="A1:XFD1048576"/>
    </sheetView>
  </sheetViews>
  <sheetFormatPr defaultRowHeight="14.5" x14ac:dyDescent="0.35"/>
  <cols>
    <col min="1" max="1" width="12.08984375" bestFit="1" customWidth="1"/>
  </cols>
  <sheetData>
    <row r="1" spans="1:32" x14ac:dyDescent="0.35">
      <c r="A1" s="2" t="s">
        <v>100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21</v>
      </c>
      <c r="W1" s="3" t="s">
        <v>20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x14ac:dyDescent="0.35">
      <c r="A2">
        <v>1</v>
      </c>
      <c r="C2">
        <v>1</v>
      </c>
      <c r="D2">
        <v>1</v>
      </c>
      <c r="E2">
        <v>1</v>
      </c>
    </row>
    <row r="3" spans="1:32" x14ac:dyDescent="0.35">
      <c r="A3">
        <v>2</v>
      </c>
      <c r="J3">
        <v>1</v>
      </c>
    </row>
    <row r="4" spans="1:32" x14ac:dyDescent="0.35">
      <c r="A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EBCA-9333-4395-841D-0D115A225A6C}">
  <dimension ref="A1:AG5"/>
  <sheetViews>
    <sheetView tabSelected="1" zoomScale="74" workbookViewId="0">
      <selection activeCell="C4" sqref="C4"/>
    </sheetView>
  </sheetViews>
  <sheetFormatPr defaultRowHeight="14.5" x14ac:dyDescent="0.35"/>
  <cols>
    <col min="1" max="1" width="12.08984375" bestFit="1" customWidth="1"/>
    <col min="2" max="2" width="12.08984375" customWidth="1"/>
    <col min="3" max="5" width="10.26953125" bestFit="1" customWidth="1"/>
  </cols>
  <sheetData>
    <row r="1" spans="1:33" x14ac:dyDescent="0.35">
      <c r="A1" s="2" t="s">
        <v>31</v>
      </c>
      <c r="B1" s="2" t="s">
        <v>41</v>
      </c>
      <c r="C1" s="5" t="s">
        <v>102</v>
      </c>
      <c r="D1" s="5" t="s">
        <v>104</v>
      </c>
      <c r="E1" s="5" t="s">
        <v>103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x14ac:dyDescent="0.35">
      <c r="A2" t="s">
        <v>99</v>
      </c>
      <c r="B2" t="s">
        <v>42</v>
      </c>
    </row>
    <row r="3" spans="1:33" x14ac:dyDescent="0.35">
      <c r="A3" t="s">
        <v>44</v>
      </c>
      <c r="B3" t="s">
        <v>4</v>
      </c>
      <c r="C3" t="s">
        <v>126</v>
      </c>
    </row>
    <row r="4" spans="1:33" x14ac:dyDescent="0.35">
      <c r="A4" t="s">
        <v>43</v>
      </c>
      <c r="B4" t="s">
        <v>105</v>
      </c>
    </row>
    <row r="5" spans="1:33" x14ac:dyDescent="0.35">
      <c r="A5" t="s">
        <v>47</v>
      </c>
      <c r="B5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4D07-2ED5-4277-9A21-369947BF3DF7}">
  <dimension ref="A1:E36"/>
  <sheetViews>
    <sheetView topLeftCell="A2" zoomScale="84" workbookViewId="0">
      <selection activeCell="B32" sqref="B32"/>
    </sheetView>
  </sheetViews>
  <sheetFormatPr defaultRowHeight="14.5" x14ac:dyDescent="0.35"/>
  <cols>
    <col min="1" max="1" width="18.26953125" bestFit="1" customWidth="1"/>
  </cols>
  <sheetData>
    <row r="1" spans="1:5" x14ac:dyDescent="0.35">
      <c r="A1" s="2" t="s">
        <v>113</v>
      </c>
      <c r="B1" s="2" t="s">
        <v>118</v>
      </c>
      <c r="C1" s="2" t="s">
        <v>119</v>
      </c>
    </row>
    <row r="2" spans="1:5" x14ac:dyDescent="0.35">
      <c r="A2" t="s">
        <v>112</v>
      </c>
      <c r="B2">
        <v>0</v>
      </c>
      <c r="C2">
        <v>50</v>
      </c>
    </row>
    <row r="3" spans="1:5" x14ac:dyDescent="0.35">
      <c r="A3" t="s">
        <v>112</v>
      </c>
      <c r="B3">
        <v>1</v>
      </c>
      <c r="C3">
        <v>30</v>
      </c>
    </row>
    <row r="4" spans="1:5" x14ac:dyDescent="0.35">
      <c r="A4" t="s">
        <v>112</v>
      </c>
      <c r="B4">
        <v>2</v>
      </c>
      <c r="C4">
        <v>15</v>
      </c>
    </row>
    <row r="5" spans="1:5" x14ac:dyDescent="0.35">
      <c r="A5" t="s">
        <v>112</v>
      </c>
      <c r="B5">
        <v>3</v>
      </c>
      <c r="C5">
        <v>-10</v>
      </c>
    </row>
    <row r="6" spans="1:5" x14ac:dyDescent="0.35">
      <c r="A6" t="s">
        <v>112</v>
      </c>
      <c r="B6">
        <v>4</v>
      </c>
      <c r="C6">
        <v>-50</v>
      </c>
    </row>
    <row r="7" spans="1:5" x14ac:dyDescent="0.35">
      <c r="A7" t="s">
        <v>114</v>
      </c>
      <c r="B7">
        <v>0</v>
      </c>
      <c r="C7">
        <v>50</v>
      </c>
      <c r="E7" s="4"/>
    </row>
    <row r="8" spans="1:5" x14ac:dyDescent="0.35">
      <c r="A8" t="s">
        <v>114</v>
      </c>
      <c r="B8">
        <v>1</v>
      </c>
      <c r="C8">
        <v>25</v>
      </c>
    </row>
    <row r="9" spans="1:5" x14ac:dyDescent="0.35">
      <c r="A9" t="s">
        <v>114</v>
      </c>
      <c r="B9">
        <v>2</v>
      </c>
      <c r="C9">
        <v>0</v>
      </c>
    </row>
    <row r="10" spans="1:5" x14ac:dyDescent="0.35">
      <c r="A10" t="s">
        <v>114</v>
      </c>
      <c r="B10">
        <v>3</v>
      </c>
      <c r="C10">
        <v>-25</v>
      </c>
    </row>
    <row r="11" spans="1:5" x14ac:dyDescent="0.35">
      <c r="A11" t="s">
        <v>114</v>
      </c>
      <c r="B11">
        <v>4</v>
      </c>
      <c r="C11">
        <v>-50</v>
      </c>
    </row>
    <row r="12" spans="1:5" x14ac:dyDescent="0.35">
      <c r="A12" t="s">
        <v>114</v>
      </c>
      <c r="B12">
        <v>5</v>
      </c>
      <c r="C12">
        <v>-60</v>
      </c>
    </row>
    <row r="13" spans="1:5" x14ac:dyDescent="0.35">
      <c r="A13" t="s">
        <v>32</v>
      </c>
      <c r="B13">
        <v>0</v>
      </c>
      <c r="C13">
        <v>20</v>
      </c>
    </row>
    <row r="14" spans="1:5" x14ac:dyDescent="0.35">
      <c r="A14" t="s">
        <v>32</v>
      </c>
      <c r="B14">
        <v>1</v>
      </c>
      <c r="C14">
        <v>10</v>
      </c>
    </row>
    <row r="15" spans="1:5" x14ac:dyDescent="0.35">
      <c r="A15" t="s">
        <v>32</v>
      </c>
      <c r="B15">
        <v>2</v>
      </c>
      <c r="C15">
        <v>0</v>
      </c>
    </row>
    <row r="16" spans="1:5" x14ac:dyDescent="0.35">
      <c r="A16" t="s">
        <v>32</v>
      </c>
      <c r="B16">
        <v>3</v>
      </c>
      <c r="C16">
        <v>0</v>
      </c>
    </row>
    <row r="17" spans="1:3" x14ac:dyDescent="0.35">
      <c r="A17" t="s">
        <v>32</v>
      </c>
      <c r="B17">
        <v>4</v>
      </c>
      <c r="C17">
        <v>-10</v>
      </c>
    </row>
    <row r="18" spans="1:3" x14ac:dyDescent="0.35">
      <c r="A18" t="s">
        <v>32</v>
      </c>
      <c r="B18">
        <v>5</v>
      </c>
      <c r="C18">
        <v>-20</v>
      </c>
    </row>
    <row r="19" spans="1:3" x14ac:dyDescent="0.35">
      <c r="A19" t="s">
        <v>32</v>
      </c>
      <c r="B19">
        <v>5</v>
      </c>
      <c r="C19">
        <v>-20</v>
      </c>
    </row>
    <row r="20" spans="1:3" x14ac:dyDescent="0.35">
      <c r="A20" t="s">
        <v>115</v>
      </c>
      <c r="B20">
        <v>0</v>
      </c>
      <c r="C20">
        <v>10</v>
      </c>
    </row>
    <row r="21" spans="1:3" x14ac:dyDescent="0.35">
      <c r="A21" t="s">
        <v>115</v>
      </c>
      <c r="B21">
        <v>1</v>
      </c>
      <c r="C21">
        <v>-10</v>
      </c>
    </row>
    <row r="22" spans="1:3" x14ac:dyDescent="0.35">
      <c r="A22" t="s">
        <v>115</v>
      </c>
      <c r="B22">
        <v>2</v>
      </c>
      <c r="C22">
        <v>-20</v>
      </c>
    </row>
    <row r="23" spans="1:3" x14ac:dyDescent="0.35">
      <c r="A23" t="s">
        <v>115</v>
      </c>
      <c r="B23">
        <v>3</v>
      </c>
      <c r="C23">
        <v>-40</v>
      </c>
    </row>
    <row r="24" spans="1:3" x14ac:dyDescent="0.35">
      <c r="A24" t="s">
        <v>115</v>
      </c>
      <c r="B24">
        <v>4</v>
      </c>
      <c r="C24">
        <v>-80</v>
      </c>
    </row>
    <row r="25" spans="1:3" x14ac:dyDescent="0.35">
      <c r="A25" t="s">
        <v>115</v>
      </c>
      <c r="B25">
        <v>5</v>
      </c>
      <c r="C25">
        <v>-160</v>
      </c>
    </row>
    <row r="26" spans="1:3" x14ac:dyDescent="0.35">
      <c r="A26" t="s">
        <v>116</v>
      </c>
      <c r="B26">
        <v>1</v>
      </c>
      <c r="C26">
        <v>-1</v>
      </c>
    </row>
    <row r="27" spans="1:3" x14ac:dyDescent="0.35">
      <c r="A27" t="s">
        <v>116</v>
      </c>
      <c r="B27">
        <v>2</v>
      </c>
      <c r="C27">
        <f>+C26*2</f>
        <v>-2</v>
      </c>
    </row>
    <row r="28" spans="1:3" x14ac:dyDescent="0.35">
      <c r="A28" t="s">
        <v>116</v>
      </c>
      <c r="B28">
        <v>3</v>
      </c>
      <c r="C28">
        <f>+C27*2</f>
        <v>-4</v>
      </c>
    </row>
    <row r="29" spans="1:3" x14ac:dyDescent="0.35">
      <c r="A29" t="s">
        <v>116</v>
      </c>
      <c r="B29">
        <v>4</v>
      </c>
      <c r="C29">
        <f>+C28*2</f>
        <v>-8</v>
      </c>
    </row>
    <row r="30" spans="1:3" x14ac:dyDescent="0.35">
      <c r="A30" t="s">
        <v>117</v>
      </c>
      <c r="B30">
        <v>1</v>
      </c>
      <c r="C30">
        <v>-50</v>
      </c>
    </row>
    <row r="31" spans="1:3" x14ac:dyDescent="0.35">
      <c r="A31" t="s">
        <v>124</v>
      </c>
      <c r="B31">
        <v>1</v>
      </c>
      <c r="C31">
        <v>65</v>
      </c>
    </row>
    <row r="32" spans="1:3" x14ac:dyDescent="0.35">
      <c r="A32" t="s">
        <v>125</v>
      </c>
      <c r="B32">
        <v>0</v>
      </c>
      <c r="C32">
        <v>20</v>
      </c>
    </row>
    <row r="33" spans="1:3" x14ac:dyDescent="0.35">
      <c r="A33" t="s">
        <v>125</v>
      </c>
      <c r="B33">
        <v>1</v>
      </c>
      <c r="C33">
        <v>0</v>
      </c>
    </row>
    <row r="34" spans="1:3" x14ac:dyDescent="0.35">
      <c r="A34" t="s">
        <v>125</v>
      </c>
      <c r="B34">
        <v>2</v>
      </c>
      <c r="C34">
        <v>-20</v>
      </c>
    </row>
    <row r="35" spans="1:3" x14ac:dyDescent="0.35">
      <c r="A35" t="s">
        <v>125</v>
      </c>
      <c r="B35">
        <v>3</v>
      </c>
      <c r="C35">
        <v>-60</v>
      </c>
    </row>
    <row r="36" spans="1:3" x14ac:dyDescent="0.35">
      <c r="A36" t="s">
        <v>125</v>
      </c>
      <c r="B36">
        <v>4</v>
      </c>
      <c r="C36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D4D2-5C1A-491D-B433-41D3ADCB02A2}">
  <dimension ref="A1:C10"/>
  <sheetViews>
    <sheetView workbookViewId="0">
      <selection activeCell="B16" sqref="B16"/>
    </sheetView>
  </sheetViews>
  <sheetFormatPr defaultRowHeight="14.5" x14ac:dyDescent="0.35"/>
  <cols>
    <col min="1" max="1" width="10.36328125" bestFit="1" customWidth="1"/>
    <col min="2" max="2" width="10.81640625" bestFit="1" customWidth="1"/>
    <col min="3" max="3" width="7.26953125" customWidth="1"/>
  </cols>
  <sheetData>
    <row r="1" spans="1:3" x14ac:dyDescent="0.35">
      <c r="A1" s="2" t="s">
        <v>120</v>
      </c>
      <c r="B1" s="2" t="s">
        <v>121</v>
      </c>
      <c r="C1" s="2" t="s">
        <v>119</v>
      </c>
    </row>
    <row r="2" spans="1:3" x14ac:dyDescent="0.35">
      <c r="A2">
        <v>1</v>
      </c>
      <c r="B2">
        <v>3</v>
      </c>
      <c r="C2">
        <v>-1000</v>
      </c>
    </row>
    <row r="3" spans="1:3" x14ac:dyDescent="0.35">
      <c r="A3">
        <v>1</v>
      </c>
      <c r="B3">
        <v>2</v>
      </c>
      <c r="C3">
        <v>-1000</v>
      </c>
    </row>
    <row r="4" spans="1:3" x14ac:dyDescent="0.35">
      <c r="A4">
        <v>2</v>
      </c>
      <c r="B4">
        <v>3</v>
      </c>
      <c r="C4">
        <v>-200</v>
      </c>
    </row>
    <row r="5" spans="1:3" x14ac:dyDescent="0.35">
      <c r="A5">
        <v>2</v>
      </c>
      <c r="B5">
        <v>1</v>
      </c>
      <c r="C5">
        <v>-50</v>
      </c>
    </row>
    <row r="6" spans="1:3" x14ac:dyDescent="0.35">
      <c r="A6">
        <v>3</v>
      </c>
      <c r="B6">
        <v>3</v>
      </c>
      <c r="C6">
        <v>100</v>
      </c>
    </row>
    <row r="7" spans="1:3" x14ac:dyDescent="0.35">
      <c r="A7">
        <v>2</v>
      </c>
      <c r="B7">
        <v>2</v>
      </c>
      <c r="C7">
        <v>100</v>
      </c>
    </row>
    <row r="8" spans="1:3" x14ac:dyDescent="0.35">
      <c r="A8">
        <v>1</v>
      </c>
      <c r="B8">
        <v>1</v>
      </c>
      <c r="C8">
        <v>100</v>
      </c>
    </row>
    <row r="9" spans="1:3" x14ac:dyDescent="0.35">
      <c r="A9">
        <v>3</v>
      </c>
      <c r="B9">
        <v>2</v>
      </c>
      <c r="C9">
        <v>-200</v>
      </c>
    </row>
    <row r="10" spans="1:3" x14ac:dyDescent="0.35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workbookViewId="0">
      <selection activeCell="H12" sqref="H12"/>
    </sheetView>
  </sheetViews>
  <sheetFormatPr defaultRowHeight="14.5" x14ac:dyDescent="0.35"/>
  <cols>
    <col min="1" max="1" width="11.81640625" customWidth="1"/>
    <col min="2" max="2" width="12.90625" bestFit="1" customWidth="1"/>
    <col min="3" max="3" width="11.81640625" customWidth="1"/>
    <col min="4" max="4" width="12.26953125" bestFit="1" customWidth="1"/>
    <col min="5" max="6" width="8.54296875" bestFit="1" customWidth="1"/>
    <col min="7" max="7" width="9.90625" bestFit="1" customWidth="1"/>
  </cols>
  <sheetData>
    <row r="1" spans="1:7" x14ac:dyDescent="0.35">
      <c r="A1" s="2" t="s">
        <v>52</v>
      </c>
      <c r="B1" s="2" t="s">
        <v>107</v>
      </c>
      <c r="C1" s="2" t="s">
        <v>32</v>
      </c>
      <c r="D1" s="2" t="s">
        <v>59</v>
      </c>
      <c r="E1" s="2" t="s">
        <v>53</v>
      </c>
      <c r="F1" s="2" t="s">
        <v>54</v>
      </c>
      <c r="G1" s="2" t="s">
        <v>55</v>
      </c>
    </row>
    <row r="2" spans="1:7" x14ac:dyDescent="0.35">
      <c r="A2" t="s">
        <v>38</v>
      </c>
      <c r="B2" t="s">
        <v>108</v>
      </c>
      <c r="C2" t="s">
        <v>35</v>
      </c>
      <c r="D2">
        <v>90</v>
      </c>
      <c r="E2">
        <v>0</v>
      </c>
      <c r="F2">
        <v>0</v>
      </c>
      <c r="G2">
        <v>1</v>
      </c>
    </row>
    <row r="3" spans="1:7" x14ac:dyDescent="0.35">
      <c r="A3" t="s">
        <v>48</v>
      </c>
      <c r="B3" t="s">
        <v>109</v>
      </c>
      <c r="C3" t="s">
        <v>33</v>
      </c>
      <c r="D3">
        <v>70</v>
      </c>
      <c r="E3">
        <v>1</v>
      </c>
      <c r="F3">
        <v>2</v>
      </c>
      <c r="G3">
        <v>11</v>
      </c>
    </row>
    <row r="4" spans="1:7" x14ac:dyDescent="0.35">
      <c r="A4" t="s">
        <v>49</v>
      </c>
      <c r="B4" t="s">
        <v>109</v>
      </c>
      <c r="C4" t="s">
        <v>34</v>
      </c>
      <c r="D4">
        <v>80</v>
      </c>
      <c r="E4">
        <v>0</v>
      </c>
      <c r="F4">
        <v>1</v>
      </c>
      <c r="G4">
        <v>2</v>
      </c>
    </row>
    <row r="5" spans="1:7" x14ac:dyDescent="0.35">
      <c r="A5" t="s">
        <v>39</v>
      </c>
      <c r="B5" t="s">
        <v>111</v>
      </c>
      <c r="C5" t="s">
        <v>33</v>
      </c>
      <c r="D5">
        <v>50</v>
      </c>
      <c r="E5">
        <v>1</v>
      </c>
      <c r="F5">
        <v>3</v>
      </c>
      <c r="G5">
        <v>11</v>
      </c>
    </row>
    <row r="6" spans="1:7" x14ac:dyDescent="0.35">
      <c r="A6" t="s">
        <v>33</v>
      </c>
      <c r="B6" t="s">
        <v>111</v>
      </c>
      <c r="C6" t="s">
        <v>33</v>
      </c>
      <c r="D6">
        <v>70</v>
      </c>
      <c r="E6">
        <v>1</v>
      </c>
      <c r="F6">
        <v>4</v>
      </c>
      <c r="G6">
        <v>11</v>
      </c>
    </row>
    <row r="7" spans="1:7" x14ac:dyDescent="0.35">
      <c r="A7" t="s">
        <v>40</v>
      </c>
      <c r="B7" t="s">
        <v>108</v>
      </c>
      <c r="C7" t="s">
        <v>34</v>
      </c>
      <c r="D7">
        <v>100</v>
      </c>
      <c r="E7">
        <v>0</v>
      </c>
      <c r="F7">
        <v>0</v>
      </c>
      <c r="G7">
        <v>1</v>
      </c>
    </row>
    <row r="8" spans="1:7" x14ac:dyDescent="0.35">
      <c r="A8" t="s">
        <v>46</v>
      </c>
      <c r="B8" t="s">
        <v>110</v>
      </c>
      <c r="C8" t="s">
        <v>36</v>
      </c>
      <c r="D8">
        <v>70</v>
      </c>
      <c r="E8">
        <v>1</v>
      </c>
      <c r="F8">
        <v>2</v>
      </c>
      <c r="G8">
        <v>5</v>
      </c>
    </row>
    <row r="9" spans="1:7" x14ac:dyDescent="0.35">
      <c r="A9" t="s">
        <v>44</v>
      </c>
      <c r="B9" t="s">
        <v>108</v>
      </c>
      <c r="C9" t="s">
        <v>37</v>
      </c>
      <c r="D9">
        <v>80</v>
      </c>
      <c r="E9">
        <v>0</v>
      </c>
      <c r="F9">
        <v>0</v>
      </c>
      <c r="G9">
        <v>1</v>
      </c>
    </row>
    <row r="10" spans="1:7" x14ac:dyDescent="0.35">
      <c r="A10" t="s">
        <v>45</v>
      </c>
      <c r="B10" t="s">
        <v>110</v>
      </c>
      <c r="C10" t="s">
        <v>33</v>
      </c>
      <c r="D10">
        <v>50</v>
      </c>
      <c r="E10">
        <v>1</v>
      </c>
      <c r="F10">
        <v>6</v>
      </c>
      <c r="G10">
        <v>11</v>
      </c>
    </row>
    <row r="11" spans="1:7" x14ac:dyDescent="0.35">
      <c r="A11" t="s">
        <v>47</v>
      </c>
      <c r="B11" t="s">
        <v>47</v>
      </c>
      <c r="C11" t="s">
        <v>47</v>
      </c>
      <c r="D11">
        <v>100</v>
      </c>
      <c r="E11">
        <v>0</v>
      </c>
      <c r="F11">
        <v>0</v>
      </c>
      <c r="G11">
        <v>0</v>
      </c>
    </row>
    <row r="12" spans="1:7" x14ac:dyDescent="0.35">
      <c r="A12" t="s">
        <v>36</v>
      </c>
      <c r="B12" t="s">
        <v>111</v>
      </c>
      <c r="C12" t="s">
        <v>36</v>
      </c>
      <c r="D12">
        <v>80</v>
      </c>
      <c r="E12">
        <v>1</v>
      </c>
      <c r="F12">
        <v>1</v>
      </c>
      <c r="G12">
        <v>3</v>
      </c>
    </row>
    <row r="13" spans="1:7" x14ac:dyDescent="0.35">
      <c r="A13" t="s">
        <v>34</v>
      </c>
      <c r="B13" t="s">
        <v>111</v>
      </c>
      <c r="C13" t="s">
        <v>34</v>
      </c>
      <c r="D13">
        <v>40</v>
      </c>
      <c r="E13">
        <v>0</v>
      </c>
      <c r="F13">
        <v>1</v>
      </c>
      <c r="G13">
        <v>2</v>
      </c>
    </row>
    <row r="14" spans="1:7" x14ac:dyDescent="0.35">
      <c r="A14" t="s">
        <v>50</v>
      </c>
      <c r="B14" t="s">
        <v>110</v>
      </c>
      <c r="C14" t="s">
        <v>37</v>
      </c>
      <c r="D14">
        <v>60</v>
      </c>
      <c r="E14">
        <v>1</v>
      </c>
      <c r="F14">
        <v>1</v>
      </c>
      <c r="G14">
        <v>4</v>
      </c>
    </row>
    <row r="15" spans="1:7" x14ac:dyDescent="0.35">
      <c r="A15" t="s">
        <v>37</v>
      </c>
      <c r="B15" t="s">
        <v>111</v>
      </c>
      <c r="C15" t="s">
        <v>37</v>
      </c>
      <c r="D15">
        <v>80</v>
      </c>
      <c r="E15">
        <v>1</v>
      </c>
      <c r="F15">
        <v>0</v>
      </c>
      <c r="G15">
        <v>3</v>
      </c>
    </row>
    <row r="16" spans="1:7" x14ac:dyDescent="0.35">
      <c r="A16" t="s">
        <v>51</v>
      </c>
      <c r="B16" t="s">
        <v>108</v>
      </c>
      <c r="C16" t="s">
        <v>51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CF1-DD02-4616-AA4A-3FD405A6C41D}">
  <dimension ref="A1:G41"/>
  <sheetViews>
    <sheetView workbookViewId="0">
      <selection activeCell="E39" sqref="E39"/>
    </sheetView>
  </sheetViews>
  <sheetFormatPr defaultRowHeight="14.5" x14ac:dyDescent="0.35"/>
  <cols>
    <col min="1" max="1" width="24.08984375" bestFit="1" customWidth="1"/>
    <col min="2" max="2" width="52.1796875" bestFit="1" customWidth="1"/>
    <col min="5" max="5" width="18.26953125" bestFit="1" customWidth="1"/>
  </cols>
  <sheetData>
    <row r="1" spans="1:7" x14ac:dyDescent="0.35">
      <c r="A1" s="6" t="s">
        <v>60</v>
      </c>
      <c r="B1" s="6"/>
      <c r="C1" s="6"/>
      <c r="E1" s="2" t="s">
        <v>113</v>
      </c>
      <c r="F1" s="2" t="s">
        <v>118</v>
      </c>
      <c r="G1" s="2" t="s">
        <v>119</v>
      </c>
    </row>
    <row r="2" spans="1:7" x14ac:dyDescent="0.35">
      <c r="A2" t="s">
        <v>61</v>
      </c>
      <c r="B2" t="s">
        <v>62</v>
      </c>
      <c r="C2">
        <v>50</v>
      </c>
      <c r="E2" t="s">
        <v>112</v>
      </c>
      <c r="F2">
        <v>0</v>
      </c>
      <c r="G2">
        <v>50</v>
      </c>
    </row>
    <row r="3" spans="1:7" x14ac:dyDescent="0.35">
      <c r="B3" t="s">
        <v>63</v>
      </c>
      <c r="C3">
        <v>30</v>
      </c>
      <c r="E3" t="s">
        <v>112</v>
      </c>
      <c r="F3">
        <v>1</v>
      </c>
      <c r="G3">
        <v>30</v>
      </c>
    </row>
    <row r="4" spans="1:7" x14ac:dyDescent="0.35">
      <c r="B4" t="s">
        <v>64</v>
      </c>
      <c r="C4">
        <v>15</v>
      </c>
      <c r="E4" t="s">
        <v>112</v>
      </c>
      <c r="F4">
        <v>2</v>
      </c>
      <c r="G4">
        <v>15</v>
      </c>
    </row>
    <row r="5" spans="1:7" x14ac:dyDescent="0.35">
      <c r="B5" t="s">
        <v>65</v>
      </c>
      <c r="C5">
        <v>-10</v>
      </c>
      <c r="E5" t="s">
        <v>112</v>
      </c>
      <c r="F5">
        <v>3</v>
      </c>
      <c r="G5">
        <v>-10</v>
      </c>
    </row>
    <row r="6" spans="1:7" x14ac:dyDescent="0.35">
      <c r="B6" t="s">
        <v>66</v>
      </c>
      <c r="C6">
        <v>-50</v>
      </c>
      <c r="E6" t="s">
        <v>112</v>
      </c>
      <c r="F6">
        <v>4</v>
      </c>
      <c r="G6">
        <v>-50</v>
      </c>
    </row>
    <row r="7" spans="1:7" x14ac:dyDescent="0.35">
      <c r="E7" t="s">
        <v>114</v>
      </c>
      <c r="F7">
        <v>0</v>
      </c>
      <c r="G7">
        <v>50</v>
      </c>
    </row>
    <row r="8" spans="1:7" x14ac:dyDescent="0.35">
      <c r="A8" t="s">
        <v>67</v>
      </c>
      <c r="B8" t="s">
        <v>68</v>
      </c>
      <c r="C8">
        <v>50</v>
      </c>
      <c r="E8" t="s">
        <v>114</v>
      </c>
      <c r="F8">
        <v>1</v>
      </c>
      <c r="G8">
        <v>25</v>
      </c>
    </row>
    <row r="9" spans="1:7" x14ac:dyDescent="0.35">
      <c r="B9" t="s">
        <v>69</v>
      </c>
      <c r="C9">
        <v>25</v>
      </c>
      <c r="E9" t="s">
        <v>114</v>
      </c>
      <c r="F9">
        <v>2</v>
      </c>
      <c r="G9">
        <v>0</v>
      </c>
    </row>
    <row r="10" spans="1:7" x14ac:dyDescent="0.35">
      <c r="B10" t="s">
        <v>70</v>
      </c>
      <c r="C10">
        <v>0</v>
      </c>
      <c r="E10" t="s">
        <v>114</v>
      </c>
      <c r="F10">
        <v>3</v>
      </c>
      <c r="G10">
        <v>-25</v>
      </c>
    </row>
    <row r="11" spans="1:7" x14ac:dyDescent="0.35">
      <c r="B11" t="s">
        <v>71</v>
      </c>
      <c r="C11">
        <v>-25</v>
      </c>
      <c r="E11" t="s">
        <v>114</v>
      </c>
      <c r="F11">
        <v>4</v>
      </c>
      <c r="G11">
        <v>-50</v>
      </c>
    </row>
    <row r="12" spans="1:7" x14ac:dyDescent="0.35">
      <c r="B12" t="s">
        <v>72</v>
      </c>
      <c r="C12">
        <v>-50</v>
      </c>
      <c r="E12" t="s">
        <v>114</v>
      </c>
      <c r="F12">
        <v>5</v>
      </c>
      <c r="G12">
        <v>-60</v>
      </c>
    </row>
    <row r="13" spans="1:7" x14ac:dyDescent="0.35">
      <c r="E13" t="s">
        <v>32</v>
      </c>
      <c r="F13">
        <v>1</v>
      </c>
      <c r="G13">
        <v>20</v>
      </c>
    </row>
    <row r="14" spans="1:7" x14ac:dyDescent="0.35">
      <c r="A14" t="s">
        <v>73</v>
      </c>
      <c r="B14" t="s">
        <v>74</v>
      </c>
      <c r="C14">
        <v>20</v>
      </c>
      <c r="E14" t="s">
        <v>32</v>
      </c>
      <c r="F14">
        <v>2</v>
      </c>
      <c r="G14">
        <v>10</v>
      </c>
    </row>
    <row r="15" spans="1:7" x14ac:dyDescent="0.35">
      <c r="B15" t="s">
        <v>75</v>
      </c>
      <c r="C15">
        <v>10</v>
      </c>
      <c r="E15" t="s">
        <v>32</v>
      </c>
      <c r="F15">
        <v>3</v>
      </c>
      <c r="G15">
        <v>0</v>
      </c>
    </row>
    <row r="16" spans="1:7" x14ac:dyDescent="0.35">
      <c r="B16" t="s">
        <v>76</v>
      </c>
      <c r="C16">
        <v>0</v>
      </c>
      <c r="E16" t="s">
        <v>32</v>
      </c>
      <c r="F16">
        <v>4</v>
      </c>
      <c r="G16">
        <v>-10</v>
      </c>
    </row>
    <row r="17" spans="1:7" x14ac:dyDescent="0.35">
      <c r="B17" t="s">
        <v>77</v>
      </c>
      <c r="C17">
        <v>-10</v>
      </c>
      <c r="E17" t="s">
        <v>32</v>
      </c>
      <c r="F17">
        <v>5</v>
      </c>
      <c r="G17">
        <v>-20</v>
      </c>
    </row>
    <row r="18" spans="1:7" x14ac:dyDescent="0.35">
      <c r="B18" t="s">
        <v>78</v>
      </c>
      <c r="C18">
        <v>-20</v>
      </c>
      <c r="E18" t="s">
        <v>32</v>
      </c>
      <c r="F18">
        <v>5</v>
      </c>
      <c r="G18">
        <v>-20</v>
      </c>
    </row>
    <row r="19" spans="1:7" x14ac:dyDescent="0.35">
      <c r="E19" t="s">
        <v>115</v>
      </c>
      <c r="F19">
        <v>1</v>
      </c>
      <c r="G19">
        <v>-10</v>
      </c>
    </row>
    <row r="20" spans="1:7" x14ac:dyDescent="0.35">
      <c r="A20" t="s">
        <v>79</v>
      </c>
      <c r="B20" t="s">
        <v>80</v>
      </c>
      <c r="C20">
        <v>-10</v>
      </c>
      <c r="E20" t="s">
        <v>115</v>
      </c>
      <c r="F20">
        <v>2</v>
      </c>
      <c r="G20">
        <v>-20</v>
      </c>
    </row>
    <row r="21" spans="1:7" x14ac:dyDescent="0.35">
      <c r="B21" t="s">
        <v>81</v>
      </c>
      <c r="C21">
        <f>+C20*2</f>
        <v>-20</v>
      </c>
      <c r="E21" t="s">
        <v>115</v>
      </c>
      <c r="F21">
        <v>3</v>
      </c>
      <c r="G21">
        <v>-40</v>
      </c>
    </row>
    <row r="22" spans="1:7" x14ac:dyDescent="0.35">
      <c r="B22" t="s">
        <v>82</v>
      </c>
      <c r="C22">
        <f>+C21*2</f>
        <v>-40</v>
      </c>
      <c r="E22" t="s">
        <v>115</v>
      </c>
      <c r="F22">
        <v>4</v>
      </c>
      <c r="G22">
        <v>-80</v>
      </c>
    </row>
    <row r="23" spans="1:7" x14ac:dyDescent="0.35">
      <c r="B23" t="s">
        <v>83</v>
      </c>
      <c r="C23">
        <f>+C22*2</f>
        <v>-80</v>
      </c>
      <c r="E23" t="s">
        <v>115</v>
      </c>
      <c r="F23">
        <v>5</v>
      </c>
      <c r="G23">
        <v>-160</v>
      </c>
    </row>
    <row r="24" spans="1:7" x14ac:dyDescent="0.35">
      <c r="B24" t="s">
        <v>84</v>
      </c>
      <c r="C24">
        <f>+C23*2</f>
        <v>-160</v>
      </c>
      <c r="E24" t="s">
        <v>116</v>
      </c>
      <c r="F24">
        <v>1</v>
      </c>
      <c r="G24">
        <v>-1</v>
      </c>
    </row>
    <row r="25" spans="1:7" x14ac:dyDescent="0.35">
      <c r="E25" t="s">
        <v>116</v>
      </c>
      <c r="F25">
        <v>2</v>
      </c>
      <c r="G25">
        <f>+G24*2</f>
        <v>-2</v>
      </c>
    </row>
    <row r="26" spans="1:7" x14ac:dyDescent="0.35">
      <c r="A26" t="s">
        <v>85</v>
      </c>
      <c r="B26" t="s">
        <v>86</v>
      </c>
      <c r="C26">
        <v>-1</v>
      </c>
      <c r="E26" t="s">
        <v>116</v>
      </c>
      <c r="F26">
        <v>3</v>
      </c>
      <c r="G26">
        <f>+G25*2</f>
        <v>-4</v>
      </c>
    </row>
    <row r="27" spans="1:7" x14ac:dyDescent="0.35">
      <c r="B27" t="s">
        <v>87</v>
      </c>
      <c r="C27">
        <f>+C26*2</f>
        <v>-2</v>
      </c>
      <c r="E27" t="s">
        <v>116</v>
      </c>
      <c r="F27">
        <v>4</v>
      </c>
      <c r="G27">
        <f>+G26*2</f>
        <v>-8</v>
      </c>
    </row>
    <row r="28" spans="1:7" x14ac:dyDescent="0.35">
      <c r="B28" t="s">
        <v>88</v>
      </c>
      <c r="C28">
        <f>+C27*2</f>
        <v>-4</v>
      </c>
      <c r="E28" t="s">
        <v>117</v>
      </c>
      <c r="F28">
        <v>1</v>
      </c>
      <c r="G28">
        <v>-50</v>
      </c>
    </row>
    <row r="29" spans="1:7" x14ac:dyDescent="0.35">
      <c r="B29" t="s">
        <v>89</v>
      </c>
      <c r="C29">
        <f>+C28*2</f>
        <v>-8</v>
      </c>
    </row>
    <row r="31" spans="1:7" x14ac:dyDescent="0.35">
      <c r="A31" t="s">
        <v>90</v>
      </c>
      <c r="B31" t="s">
        <v>91</v>
      </c>
      <c r="C31">
        <v>-50</v>
      </c>
    </row>
    <row r="33" spans="1:3" x14ac:dyDescent="0.35">
      <c r="A33" t="s">
        <v>92</v>
      </c>
    </row>
    <row r="35" spans="1:3" x14ac:dyDescent="0.35">
      <c r="A35" t="s">
        <v>93</v>
      </c>
      <c r="B35" t="s">
        <v>122</v>
      </c>
      <c r="C35">
        <v>-1000</v>
      </c>
    </row>
    <row r="36" spans="1:3" x14ac:dyDescent="0.35">
      <c r="B36" t="s">
        <v>95</v>
      </c>
      <c r="C36">
        <v>-200</v>
      </c>
    </row>
    <row r="37" spans="1:3" x14ac:dyDescent="0.35">
      <c r="B37" t="s">
        <v>94</v>
      </c>
      <c r="C37">
        <v>-50</v>
      </c>
    </row>
    <row r="38" spans="1:3" x14ac:dyDescent="0.35">
      <c r="B38" t="s">
        <v>98</v>
      </c>
      <c r="C38">
        <v>1000</v>
      </c>
    </row>
    <row r="39" spans="1:3" x14ac:dyDescent="0.35">
      <c r="B39" t="s">
        <v>97</v>
      </c>
      <c r="C39">
        <v>100</v>
      </c>
    </row>
    <row r="40" spans="1:3" x14ac:dyDescent="0.35">
      <c r="B40" t="s">
        <v>96</v>
      </c>
      <c r="C40">
        <v>100</v>
      </c>
    </row>
    <row r="41" spans="1:3" x14ac:dyDescent="0.35">
      <c r="B41" t="s">
        <v>123</v>
      </c>
      <c r="C41">
        <v>-200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</vt:lpstr>
      <vt:lpstr>Employees</vt:lpstr>
      <vt:lpstr>DaysOff</vt:lpstr>
      <vt:lpstr>EventReq</vt:lpstr>
      <vt:lpstr>ScoreKeys</vt:lpstr>
      <vt:lpstr>SkillsetScores</vt:lpstr>
      <vt:lpstr>EventTypes</vt:lpstr>
      <vt:lpstr>Score krass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2026-02-08T13:27:47Z</dcterms:created>
  <dcterms:modified xsi:type="dcterms:W3CDTF">2026-04-29T17:28:13Z</dcterms:modified>
</cp:coreProperties>
</file>