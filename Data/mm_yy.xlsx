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ja\Downloads\"/>
    </mc:Choice>
  </mc:AlternateContent>
  <xr:revisionPtr revIDLastSave="0" documentId="13_ncr:1_{156D2DA2-8ABB-4D77-B97D-8D19FC95023D}" xr6:coauthVersionLast="47" xr6:coauthVersionMax="47" xr10:uidLastSave="{00000000-0000-0000-0000-000000000000}"/>
  <bookViews>
    <workbookView xWindow="-110" yWindow="-110" windowWidth="19420" windowHeight="11500" activeTab="1" xr2:uid="{7CFC1604-4118-4D2C-86E1-DDF4E62B5004}"/>
  </bookViews>
  <sheets>
    <sheet name="Leiðbeiningar" sheetId="10" r:id="rId1"/>
    <sheet name="Events" sheetId="3" r:id="rId2"/>
    <sheet name="Employees" sheetId="2" r:id="rId3"/>
    <sheet name="DaysOff" sheetId="4" r:id="rId4"/>
    <sheet name="EventReq" sheetId="9" r:id="rId5"/>
    <sheet name="EventTypes" sheetId="5" r:id="rId6"/>
    <sheet name="SkillsetScores" sheetId="8" r:id="rId7"/>
    <sheet name="ScoreKey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2" i="3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2" i="4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B2" i="9"/>
  <c r="C1" i="9"/>
  <c r="AQ1" i="9"/>
  <c r="AP1" i="9"/>
  <c r="AO1" i="9"/>
  <c r="AN1" i="9"/>
  <c r="AM1" i="9"/>
  <c r="AL1" i="9"/>
  <c r="AK1" i="9"/>
  <c r="B32" i="9"/>
  <c r="B33" i="9"/>
  <c r="B34" i="9"/>
  <c r="B35" i="9"/>
  <c r="B36" i="9"/>
  <c r="B37" i="9"/>
  <c r="B38" i="9"/>
  <c r="B39" i="9"/>
  <c r="B40" i="9"/>
  <c r="B41" i="9"/>
  <c r="B42" i="9"/>
  <c r="B43" i="9"/>
  <c r="AJ1" i="9"/>
  <c r="AI1" i="9"/>
  <c r="AG1" i="9"/>
  <c r="AH1" i="9"/>
  <c r="AF1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AE1" i="9" l="1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B1" i="9"/>
  <c r="A2" i="9"/>
  <c r="A1" i="9"/>
  <c r="C26" i="7"/>
  <c r="C27" i="7" s="1"/>
  <c r="C28" i="7" s="1"/>
</calcChain>
</file>

<file path=xl/sharedStrings.xml><?xml version="1.0" encoding="utf-8"?>
<sst xmlns="http://schemas.openxmlformats.org/spreadsheetml/2006/main" count="168" uniqueCount="105">
  <si>
    <t>Event</t>
  </si>
  <si>
    <t>Hall</t>
  </si>
  <si>
    <t>EB</t>
  </si>
  <si>
    <t>KL</t>
  </si>
  <si>
    <t>BL</t>
  </si>
  <si>
    <t>SB</t>
  </si>
  <si>
    <t>NL</t>
  </si>
  <si>
    <t>Múlinn</t>
  </si>
  <si>
    <t>Sinfó</t>
  </si>
  <si>
    <t>How To</t>
  </si>
  <si>
    <t>Date</t>
  </si>
  <si>
    <t>Sígildir</t>
  </si>
  <si>
    <t>Partý EB</t>
  </si>
  <si>
    <t>Partý SB</t>
  </si>
  <si>
    <t>Fatahengi</t>
  </si>
  <si>
    <t>Barna EB</t>
  </si>
  <si>
    <t>Barna KL</t>
  </si>
  <si>
    <t>Party NL</t>
  </si>
  <si>
    <t>HH</t>
  </si>
  <si>
    <t>EventType</t>
  </si>
  <si>
    <t>Skillset1</t>
  </si>
  <si>
    <t>Skillset2</t>
  </si>
  <si>
    <t>Employees</t>
  </si>
  <si>
    <t>ShiftBegins</t>
  </si>
  <si>
    <t>ShiftEnds</t>
  </si>
  <si>
    <t>EventID</t>
  </si>
  <si>
    <t>EventRanking</t>
  </si>
  <si>
    <t>Skillset</t>
  </si>
  <si>
    <t>EmployeeID</t>
  </si>
  <si>
    <t>EmployeeName</t>
  </si>
  <si>
    <t>EventCategory</t>
  </si>
  <si>
    <t>Solo</t>
  </si>
  <si>
    <t>Barna</t>
  </si>
  <si>
    <t>Party</t>
  </si>
  <si>
    <t>Basic</t>
  </si>
  <si>
    <t>RuleType</t>
  </si>
  <si>
    <t>Key</t>
  </si>
  <si>
    <t>Score</t>
  </si>
  <si>
    <t>Weekend</t>
  </si>
  <si>
    <t>Weekend_last_period</t>
  </si>
  <si>
    <t>Shifts_this_week</t>
  </si>
  <si>
    <t>Shifs_this_length</t>
  </si>
  <si>
    <t>Shift_over_six_hours</t>
  </si>
  <si>
    <t>ReqSkillset</t>
  </si>
  <si>
    <t>EmpSkillset</t>
  </si>
  <si>
    <t>Req_this_shift</t>
  </si>
  <si>
    <t>Category</t>
  </si>
  <si>
    <t xml:space="preserve">Anna Soffía </t>
  </si>
  <si>
    <t>Arnar Ragn</t>
  </si>
  <si>
    <t xml:space="preserve">Auður </t>
  </si>
  <si>
    <t xml:space="preserve">Elísabet </t>
  </si>
  <si>
    <t xml:space="preserve">Elmar </t>
  </si>
  <si>
    <t xml:space="preserve">Erna </t>
  </si>
  <si>
    <t xml:space="preserve">Gaukur </t>
  </si>
  <si>
    <t>Gréta</t>
  </si>
  <si>
    <t xml:space="preserve">Guðný  </t>
  </si>
  <si>
    <t xml:space="preserve">Hólmfríður </t>
  </si>
  <si>
    <t>Hrafnkell</t>
  </si>
  <si>
    <t xml:space="preserve">Hrannar </t>
  </si>
  <si>
    <t xml:space="preserve">Jórunn  </t>
  </si>
  <si>
    <t>Katrín Hel</t>
  </si>
  <si>
    <t xml:space="preserve">Katrín Sig </t>
  </si>
  <si>
    <t xml:space="preserve">Laufey </t>
  </si>
  <si>
    <t xml:space="preserve">Magnús  </t>
  </si>
  <si>
    <t>Orri</t>
  </si>
  <si>
    <t xml:space="preserve">Rut </t>
  </si>
  <si>
    <t>Sara B</t>
  </si>
  <si>
    <t xml:space="preserve">Sara Júlía </t>
  </si>
  <si>
    <t xml:space="preserve">Selma </t>
  </si>
  <si>
    <t xml:space="preserve">Sigríður </t>
  </si>
  <si>
    <t>Sveinn</t>
  </si>
  <si>
    <t xml:space="preserve">Sæmundur </t>
  </si>
  <si>
    <t xml:space="preserve">Valdís </t>
  </si>
  <si>
    <t xml:space="preserve">Védís </t>
  </si>
  <si>
    <t xml:space="preserve">Unnar </t>
  </si>
  <si>
    <t>Ömmi</t>
  </si>
  <si>
    <t xml:space="preserve">Arnar </t>
  </si>
  <si>
    <t xml:space="preserve">Róbert </t>
  </si>
  <si>
    <t xml:space="preserve">Jara </t>
  </si>
  <si>
    <t xml:space="preserve">Þórey </t>
  </si>
  <si>
    <t>Agnes Anna</t>
  </si>
  <si>
    <t>Ágústa</t>
  </si>
  <si>
    <t>Daníel</t>
  </si>
  <si>
    <t>Magnea</t>
  </si>
  <si>
    <t>Margrét Lára</t>
  </si>
  <si>
    <t>Palli</t>
  </si>
  <si>
    <t>Vero</t>
  </si>
  <si>
    <t>Alda</t>
  </si>
  <si>
    <t>Ef þú vilt breyta þeim upplýsingum sem koma sjálfkrafa inn má skrifa yfir þær.</t>
  </si>
  <si>
    <t>Events</t>
  </si>
  <si>
    <t>Ekki er þörf á að breyta Employees flipanum nema breyting sé á starsfmönnum, annað hvort ef einhver hættir eða kemur nýr inn, eða ef skillset breytist</t>
  </si>
  <si>
    <t>DaysOff</t>
  </si>
  <si>
    <t xml:space="preserve">Fylltu út í gráu reitina með upplýsingum um viðburði. </t>
  </si>
  <si>
    <t xml:space="preserve">Ath. Að EventType er fellilisti og því þarf ekki að handskrifa það inn - veljið úr listanum það sem á best við um hvern viðburð. </t>
  </si>
  <si>
    <t xml:space="preserve">Breyttu dagsetningum í efstu línu í viðeigandi mánuð. </t>
  </si>
  <si>
    <t>Hægt er að skrifa fyrsta dag mánaðarins og draga restina af dögunum út frá þeirri dagsetningu til hægri</t>
  </si>
  <si>
    <t>Settu 1 ef starsfmaður er í fríi á valinni dagsetningu</t>
  </si>
  <si>
    <t>EventReq</t>
  </si>
  <si>
    <t>Þarf ekki að breyta neinu í þessum flipa, settu x við burði sem starfsmenn óska eftir</t>
  </si>
  <si>
    <t>Leiðbeiningar fyrir hvern flipa</t>
  </si>
  <si>
    <t>Ekki þarf að breyta þessum flipum nema þú viljir hækka/lækka refsingu fyrir ákveðin atriði</t>
  </si>
  <si>
    <t>SkillsetScores &amp; ScoreKeys</t>
  </si>
  <si>
    <t>EventTypes</t>
  </si>
  <si>
    <t>Ekki þarf að breyta þessum flipa nema ef þú vilt bæta við/taka út tegund af viðburði, breyta stigum eða fjölda starsfmanna fyrir ákveðna tegund af viðburði</t>
  </si>
  <si>
    <t>Einkaviðburður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</si>
</sst>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46" fontId="0" fillId="2" borderId="0" xfId="0" applyNumberFormat="1" applyFill="1"/>
    <xf numFmtId="0" fontId="1" fillId="2" borderId="1" xfId="0" applyFont="1" applyFill="1" applyBorder="1"/>
    <xf numFmtId="0" fontId="1" fillId="0" borderId="1" xfId="0" applyFont="1" applyBorder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6514-B495-48D4-AD56-9541C4FDE3F6}">
  <dimension ref="B1:O24"/>
  <sheetViews>
    <sheetView showGridLines="0" workbookViewId="0">
      <selection activeCell="D24" sqref="D24"/>
    </sheetView>
  </sheetViews>
  <sheetFormatPr defaultRowHeight="14.5" x14ac:dyDescent="0.35"/>
  <cols>
    <col min="1" max="1" width="4.1796875" customWidth="1"/>
    <col min="12" max="12" width="9.36328125" customWidth="1"/>
  </cols>
  <sheetData>
    <row r="1" spans="2:12" x14ac:dyDescent="0.35">
      <c r="B1" s="1" t="s">
        <v>99</v>
      </c>
    </row>
    <row r="3" spans="2:12" x14ac:dyDescent="0.35">
      <c r="B3" s="1" t="s">
        <v>89</v>
      </c>
    </row>
    <row r="4" spans="2:12" ht="14.5" customHeight="1" x14ac:dyDescent="0.35">
      <c r="B4" s="5" t="s">
        <v>92</v>
      </c>
      <c r="C4" s="11"/>
      <c r="D4" s="11"/>
      <c r="E4" s="11"/>
      <c r="F4" s="11"/>
      <c r="G4" s="11"/>
      <c r="H4" s="11"/>
      <c r="I4" s="11"/>
      <c r="J4" s="11"/>
      <c r="K4" s="5"/>
      <c r="L4" s="5"/>
    </row>
    <row r="5" spans="2:12" x14ac:dyDescent="0.35">
      <c r="B5" s="5" t="s">
        <v>93</v>
      </c>
      <c r="C5" s="11"/>
      <c r="D5" s="11"/>
      <c r="E5" s="11"/>
      <c r="F5" s="11"/>
      <c r="G5" s="11"/>
      <c r="H5" s="11"/>
      <c r="I5" s="11"/>
      <c r="J5" s="11"/>
      <c r="K5" s="5"/>
      <c r="L5" s="5"/>
    </row>
    <row r="6" spans="2:12" x14ac:dyDescent="0.35">
      <c r="B6" s="5" t="s">
        <v>88</v>
      </c>
      <c r="C6" s="11"/>
      <c r="D6" s="11"/>
      <c r="E6" s="11"/>
      <c r="F6" s="11"/>
      <c r="G6" s="5"/>
      <c r="H6" s="5"/>
      <c r="I6" s="5"/>
      <c r="J6" s="5"/>
      <c r="K6" s="5"/>
      <c r="L6" s="5"/>
    </row>
    <row r="8" spans="2:12" ht="14.5" customHeight="1" x14ac:dyDescent="0.35">
      <c r="B8" s="1" t="s">
        <v>22</v>
      </c>
    </row>
    <row r="9" spans="2:12" ht="14.5" customHeight="1" x14ac:dyDescent="0.35">
      <c r="B9" s="12" t="s">
        <v>90</v>
      </c>
      <c r="C9" s="12"/>
      <c r="D9" s="12"/>
      <c r="E9" s="12"/>
      <c r="F9" s="12"/>
      <c r="G9" s="12"/>
      <c r="H9" s="12"/>
      <c r="I9" s="12"/>
    </row>
    <row r="10" spans="2:12" x14ac:dyDescent="0.35">
      <c r="B10" s="12"/>
      <c r="C10" s="12"/>
      <c r="D10" s="12"/>
      <c r="E10" s="12"/>
      <c r="F10" s="12"/>
      <c r="G10" s="12"/>
      <c r="H10" s="12"/>
      <c r="I10" s="12"/>
    </row>
    <row r="12" spans="2:12" x14ac:dyDescent="0.35">
      <c r="B12" s="1" t="s">
        <v>91</v>
      </c>
    </row>
    <row r="13" spans="2:12" ht="14.5" customHeight="1" x14ac:dyDescent="0.35">
      <c r="B13" s="5" t="s">
        <v>94</v>
      </c>
      <c r="C13" s="5"/>
      <c r="D13" s="5"/>
      <c r="E13" s="5"/>
      <c r="F13" s="5"/>
      <c r="G13" s="5"/>
      <c r="H13" s="5"/>
      <c r="I13" s="5"/>
      <c r="J13" s="5"/>
      <c r="K13" s="5"/>
    </row>
    <row r="14" spans="2:12" x14ac:dyDescent="0.35">
      <c r="B14" s="5" t="s">
        <v>95</v>
      </c>
      <c r="C14" s="5"/>
      <c r="D14" s="5"/>
      <c r="E14" s="5"/>
      <c r="F14" s="5"/>
      <c r="G14" s="5"/>
      <c r="H14" s="5"/>
      <c r="I14" s="5"/>
      <c r="J14" s="5"/>
      <c r="K14" s="5"/>
    </row>
    <row r="15" spans="2:12" x14ac:dyDescent="0.35">
      <c r="B15" s="5" t="s">
        <v>96</v>
      </c>
      <c r="C15" s="5"/>
      <c r="D15" s="5"/>
      <c r="E15" s="5"/>
      <c r="F15" s="5"/>
      <c r="G15" s="5"/>
      <c r="H15" s="5"/>
      <c r="I15" s="5"/>
      <c r="J15" s="5"/>
      <c r="K15" s="5"/>
    </row>
    <row r="17" spans="2:15" x14ac:dyDescent="0.35">
      <c r="B17" s="1" t="s">
        <v>97</v>
      </c>
    </row>
    <row r="18" spans="2:15" x14ac:dyDescent="0.35">
      <c r="B18" s="5" t="s">
        <v>98</v>
      </c>
      <c r="C18" s="5"/>
      <c r="D18" s="5"/>
      <c r="E18" s="5"/>
      <c r="F18" s="5"/>
      <c r="G18" s="5"/>
      <c r="H18" s="5"/>
      <c r="I18" s="5"/>
    </row>
    <row r="20" spans="2:15" x14ac:dyDescent="0.35">
      <c r="B20" s="1" t="s">
        <v>102</v>
      </c>
    </row>
    <row r="21" spans="2:15" x14ac:dyDescent="0.35">
      <c r="B21" s="5" t="s">
        <v>103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3" spans="2:15" x14ac:dyDescent="0.35">
      <c r="B23" s="1" t="s">
        <v>101</v>
      </c>
    </row>
    <row r="24" spans="2:15" x14ac:dyDescent="0.35">
      <c r="B24" s="5" t="s">
        <v>100</v>
      </c>
      <c r="C24" s="5"/>
      <c r="D24" s="5"/>
      <c r="E24" s="5"/>
      <c r="F24" s="5"/>
      <c r="G24" s="5"/>
      <c r="H24" s="5"/>
      <c r="I24" s="5"/>
      <c r="J24" s="5"/>
    </row>
  </sheetData>
  <mergeCells count="1">
    <mergeCell ref="B9:I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C5EB-2E56-4141-9621-F1338A9E2497}">
  <dimension ref="A1:L100"/>
  <sheetViews>
    <sheetView tabSelected="1" zoomScale="91" zoomScaleNormal="100" workbookViewId="0">
      <selection activeCell="C2" sqref="C2"/>
    </sheetView>
  </sheetViews>
  <sheetFormatPr defaultColWidth="8.81640625" defaultRowHeight="14.5" x14ac:dyDescent="0.35"/>
  <cols>
    <col min="1" max="1" width="8.81640625" style="5"/>
    <col min="2" max="2" width="13.26953125" style="5" customWidth="1"/>
    <col min="3" max="3" width="10.08984375" style="5" bestFit="1" customWidth="1"/>
    <col min="4" max="4" width="13.81640625" bestFit="1" customWidth="1"/>
    <col min="5" max="5" width="12.81640625" bestFit="1" customWidth="1"/>
    <col min="6" max="6" width="7.90625" customWidth="1"/>
    <col min="8" max="8" width="8.6328125" bestFit="1" customWidth="1"/>
    <col min="9" max="9" width="10.90625" bestFit="1" customWidth="1"/>
    <col min="10" max="10" width="10.08984375" style="5" bestFit="1" customWidth="1"/>
    <col min="11" max="11" width="10.81640625" style="5" bestFit="1" customWidth="1"/>
    <col min="12" max="12" width="9.1796875" style="5" bestFit="1" customWidth="1"/>
    <col min="18" max="18" width="9.1796875" customWidth="1"/>
  </cols>
  <sheetData>
    <row r="1" spans="1:12" x14ac:dyDescent="0.35">
      <c r="A1" s="9" t="s">
        <v>25</v>
      </c>
      <c r="B1" s="9" t="s">
        <v>0</v>
      </c>
      <c r="C1" s="9" t="s">
        <v>19</v>
      </c>
      <c r="D1" s="10" t="s">
        <v>30</v>
      </c>
      <c r="E1" s="10" t="s">
        <v>26</v>
      </c>
      <c r="F1" s="10" t="s">
        <v>1</v>
      </c>
      <c r="G1" s="10" t="s">
        <v>20</v>
      </c>
      <c r="H1" s="10" t="s">
        <v>21</v>
      </c>
      <c r="I1" s="10" t="s">
        <v>22</v>
      </c>
      <c r="J1" s="9" t="s">
        <v>10</v>
      </c>
      <c r="K1" s="9" t="s">
        <v>23</v>
      </c>
      <c r="L1" s="9" t="s">
        <v>24</v>
      </c>
    </row>
    <row r="2" spans="1:12" x14ac:dyDescent="0.35">
      <c r="D2">
        <f>_xlfn.XLOOKUP(C2,EventTypes!$A:$A,EventTypes!B:B)</f>
        <v>0</v>
      </c>
      <c r="E2">
        <f>_xlfn.XLOOKUP(C2,EventTypes!$A:$A,EventTypes!D:D)</f>
        <v>0</v>
      </c>
      <c r="F2">
        <f>_xlfn.XLOOKUP(C2,EventTypes!$A:$A,EventTypes!C:C)</f>
        <v>0</v>
      </c>
      <c r="G2">
        <f>_xlfn.XLOOKUP(C2,EventTypes!$A:$A,EventTypes!E:E)</f>
        <v>0</v>
      </c>
      <c r="H2">
        <f>_xlfn.XLOOKUP(C2,EventTypes!$A:$A,EventTypes!F:F)</f>
        <v>0</v>
      </c>
      <c r="I2">
        <f>_xlfn.XLOOKUP(C2,EventTypes!$A:$A,EventTypes!G:G)</f>
        <v>0</v>
      </c>
      <c r="J2" s="6"/>
      <c r="K2" s="7"/>
      <c r="L2" s="7"/>
    </row>
    <row r="3" spans="1:12" x14ac:dyDescent="0.35">
      <c r="D3">
        <f>_xlfn.XLOOKUP(C3,EventTypes!$A:$A,EventTypes!B:B)</f>
        <v>0</v>
      </c>
      <c r="E3">
        <f>_xlfn.XLOOKUP(C3,EventTypes!$A:$A,EventTypes!D:D)</f>
        <v>0</v>
      </c>
      <c r="F3">
        <f>_xlfn.XLOOKUP(C3,EventTypes!$A:$A,EventTypes!C:C)</f>
        <v>0</v>
      </c>
      <c r="G3">
        <f>_xlfn.XLOOKUP(C3,EventTypes!$A:$A,EventTypes!E:E)</f>
        <v>0</v>
      </c>
      <c r="H3">
        <f>_xlfn.XLOOKUP(C3,EventTypes!$A:$A,EventTypes!F:F)</f>
        <v>0</v>
      </c>
      <c r="I3">
        <f>_xlfn.XLOOKUP(C3,EventTypes!$A:$A,EventTypes!G:G)</f>
        <v>0</v>
      </c>
      <c r="J3" s="6"/>
      <c r="K3" s="7"/>
      <c r="L3" s="7"/>
    </row>
    <row r="4" spans="1:12" x14ac:dyDescent="0.35">
      <c r="D4">
        <f>_xlfn.XLOOKUP(C4,EventTypes!$A:$A,EventTypes!B:B)</f>
        <v>0</v>
      </c>
      <c r="E4">
        <f>_xlfn.XLOOKUP(C4,EventTypes!$A:$A,EventTypes!D:D)</f>
        <v>0</v>
      </c>
      <c r="F4">
        <f>_xlfn.XLOOKUP(C4,EventTypes!$A:$A,EventTypes!C:C)</f>
        <v>0</v>
      </c>
      <c r="G4">
        <f>_xlfn.XLOOKUP(C4,EventTypes!$A:$A,EventTypes!E:E)</f>
        <v>0</v>
      </c>
      <c r="H4">
        <f>_xlfn.XLOOKUP(C4,EventTypes!$A:$A,EventTypes!F:F)</f>
        <v>0</v>
      </c>
      <c r="I4">
        <f>_xlfn.XLOOKUP(C4,EventTypes!$A:$A,EventTypes!G:G)</f>
        <v>0</v>
      </c>
      <c r="J4" s="6"/>
      <c r="K4" s="7"/>
      <c r="L4" s="7"/>
    </row>
    <row r="5" spans="1:12" x14ac:dyDescent="0.35">
      <c r="D5">
        <f>_xlfn.XLOOKUP(C5,EventTypes!$A:$A,EventTypes!B:B)</f>
        <v>0</v>
      </c>
      <c r="E5">
        <f>_xlfn.XLOOKUP(C5,EventTypes!$A:$A,EventTypes!D:D)</f>
        <v>0</v>
      </c>
      <c r="F5">
        <f>_xlfn.XLOOKUP(C5,EventTypes!$A:$A,EventTypes!C:C)</f>
        <v>0</v>
      </c>
      <c r="G5">
        <f>_xlfn.XLOOKUP(C5,EventTypes!$A:$A,EventTypes!E:E)</f>
        <v>0</v>
      </c>
      <c r="H5">
        <f>_xlfn.XLOOKUP(C5,EventTypes!$A:$A,EventTypes!F:F)</f>
        <v>0</v>
      </c>
      <c r="I5">
        <f>_xlfn.XLOOKUP(C5,EventTypes!$A:$A,EventTypes!G:G)</f>
        <v>0</v>
      </c>
      <c r="J5" s="6"/>
      <c r="K5" s="7"/>
      <c r="L5" s="7"/>
    </row>
    <row r="6" spans="1:12" x14ac:dyDescent="0.35">
      <c r="D6">
        <f>_xlfn.XLOOKUP(C6,EventTypes!$A:$A,EventTypes!B:B)</f>
        <v>0</v>
      </c>
      <c r="E6">
        <f>_xlfn.XLOOKUP(C6,EventTypes!$A:$A,EventTypes!D:D)</f>
        <v>0</v>
      </c>
      <c r="F6">
        <f>_xlfn.XLOOKUP(C6,EventTypes!$A:$A,EventTypes!C:C)</f>
        <v>0</v>
      </c>
      <c r="G6">
        <f>_xlfn.XLOOKUP(C6,EventTypes!$A:$A,EventTypes!E:E)</f>
        <v>0</v>
      </c>
      <c r="H6">
        <f>_xlfn.XLOOKUP(C6,EventTypes!$A:$A,EventTypes!F:F)</f>
        <v>0</v>
      </c>
      <c r="I6">
        <f>_xlfn.XLOOKUP(C6,EventTypes!$A:$A,EventTypes!G:G)</f>
        <v>0</v>
      </c>
      <c r="J6" s="6"/>
      <c r="K6" s="7"/>
      <c r="L6" s="7"/>
    </row>
    <row r="7" spans="1:12" ht="14.5" customHeight="1" x14ac:dyDescent="0.35">
      <c r="D7">
        <f>_xlfn.XLOOKUP(C7,EventTypes!$A:$A,EventTypes!B:B)</f>
        <v>0</v>
      </c>
      <c r="E7">
        <f>_xlfn.XLOOKUP(C7,EventTypes!$A:$A,EventTypes!D:D)</f>
        <v>0</v>
      </c>
      <c r="F7">
        <f>_xlfn.XLOOKUP(C7,EventTypes!$A:$A,EventTypes!C:C)</f>
        <v>0</v>
      </c>
      <c r="G7">
        <f>_xlfn.XLOOKUP(C7,EventTypes!$A:$A,EventTypes!E:E)</f>
        <v>0</v>
      </c>
      <c r="H7">
        <f>_xlfn.XLOOKUP(C7,EventTypes!$A:$A,EventTypes!F:F)</f>
        <v>0</v>
      </c>
      <c r="I7">
        <f>_xlfn.XLOOKUP(C7,EventTypes!$A:$A,EventTypes!G:G)</f>
        <v>0</v>
      </c>
      <c r="J7" s="6"/>
      <c r="K7" s="7"/>
      <c r="L7" s="7"/>
    </row>
    <row r="8" spans="1:12" x14ac:dyDescent="0.35">
      <c r="D8">
        <f>_xlfn.XLOOKUP(C8,EventTypes!$A:$A,EventTypes!B:B)</f>
        <v>0</v>
      </c>
      <c r="E8">
        <f>_xlfn.XLOOKUP(C8,EventTypes!$A:$A,EventTypes!D:D)</f>
        <v>0</v>
      </c>
      <c r="F8">
        <f>_xlfn.XLOOKUP(C8,EventTypes!$A:$A,EventTypes!C:C)</f>
        <v>0</v>
      </c>
      <c r="G8">
        <f>_xlfn.XLOOKUP(C8,EventTypes!$A:$A,EventTypes!E:E)</f>
        <v>0</v>
      </c>
      <c r="H8">
        <f>_xlfn.XLOOKUP(C8,EventTypes!$A:$A,EventTypes!F:F)</f>
        <v>0</v>
      </c>
      <c r="I8">
        <f>_xlfn.XLOOKUP(C8,EventTypes!$A:$A,EventTypes!G:G)</f>
        <v>0</v>
      </c>
      <c r="J8" s="6"/>
      <c r="K8" s="7"/>
      <c r="L8" s="7"/>
    </row>
    <row r="9" spans="1:12" x14ac:dyDescent="0.35">
      <c r="D9">
        <f>_xlfn.XLOOKUP(C9,EventTypes!$A:$A,EventTypes!B:B)</f>
        <v>0</v>
      </c>
      <c r="E9">
        <f>_xlfn.XLOOKUP(C9,EventTypes!$A:$A,EventTypes!D:D)</f>
        <v>0</v>
      </c>
      <c r="F9">
        <f>_xlfn.XLOOKUP(C9,EventTypes!$A:$A,EventTypes!C:C)</f>
        <v>0</v>
      </c>
      <c r="G9">
        <f>_xlfn.XLOOKUP(C9,EventTypes!$A:$A,EventTypes!E:E)</f>
        <v>0</v>
      </c>
      <c r="H9">
        <f>_xlfn.XLOOKUP(C9,EventTypes!$A:$A,EventTypes!F:F)</f>
        <v>0</v>
      </c>
      <c r="I9">
        <f>_xlfn.XLOOKUP(C9,EventTypes!$A:$A,EventTypes!G:G)</f>
        <v>0</v>
      </c>
      <c r="J9" s="6"/>
      <c r="K9" s="7"/>
      <c r="L9" s="7"/>
    </row>
    <row r="10" spans="1:12" x14ac:dyDescent="0.35">
      <c r="D10">
        <f>_xlfn.XLOOKUP(C10,EventTypes!$A:$A,EventTypes!B:B)</f>
        <v>0</v>
      </c>
      <c r="E10">
        <f>_xlfn.XLOOKUP(C10,EventTypes!$A:$A,EventTypes!D:D)</f>
        <v>0</v>
      </c>
      <c r="F10">
        <f>_xlfn.XLOOKUP(C10,EventTypes!$A:$A,EventTypes!C:C)</f>
        <v>0</v>
      </c>
      <c r="G10">
        <f>_xlfn.XLOOKUP(C10,EventTypes!$A:$A,EventTypes!E:E)</f>
        <v>0</v>
      </c>
      <c r="H10">
        <f>_xlfn.XLOOKUP(C10,EventTypes!$A:$A,EventTypes!F:F)</f>
        <v>0</v>
      </c>
      <c r="I10">
        <f>_xlfn.XLOOKUP(C10,EventTypes!$A:$A,EventTypes!G:G)</f>
        <v>0</v>
      </c>
      <c r="J10" s="6"/>
      <c r="K10" s="7"/>
      <c r="L10" s="7"/>
    </row>
    <row r="11" spans="1:12" x14ac:dyDescent="0.35">
      <c r="D11">
        <f>_xlfn.XLOOKUP(C11,EventTypes!$A:$A,EventTypes!B:B)</f>
        <v>0</v>
      </c>
      <c r="E11">
        <f>_xlfn.XLOOKUP(C11,EventTypes!$A:$A,EventTypes!D:D)</f>
        <v>0</v>
      </c>
      <c r="F11">
        <f>_xlfn.XLOOKUP(C11,EventTypes!$A:$A,EventTypes!C:C)</f>
        <v>0</v>
      </c>
      <c r="G11">
        <f>_xlfn.XLOOKUP(C11,EventTypes!$A:$A,EventTypes!E:E)</f>
        <v>0</v>
      </c>
      <c r="H11">
        <f>_xlfn.XLOOKUP(C11,EventTypes!$A:$A,EventTypes!F:F)</f>
        <v>0</v>
      </c>
      <c r="I11">
        <f>_xlfn.XLOOKUP(C11,EventTypes!$A:$A,EventTypes!G:G)</f>
        <v>0</v>
      </c>
      <c r="J11" s="6"/>
      <c r="K11" s="7"/>
      <c r="L11" s="7"/>
    </row>
    <row r="12" spans="1:12" x14ac:dyDescent="0.35">
      <c r="D12">
        <f>_xlfn.XLOOKUP(C12,EventTypes!$A:$A,EventTypes!B:B)</f>
        <v>0</v>
      </c>
      <c r="E12">
        <f>_xlfn.XLOOKUP(C12,EventTypes!$A:$A,EventTypes!D:D)</f>
        <v>0</v>
      </c>
      <c r="F12">
        <f>_xlfn.XLOOKUP(C12,EventTypes!$A:$A,EventTypes!C:C)</f>
        <v>0</v>
      </c>
      <c r="G12">
        <f>_xlfn.XLOOKUP(C12,EventTypes!$A:$A,EventTypes!E:E)</f>
        <v>0</v>
      </c>
      <c r="H12">
        <f>_xlfn.XLOOKUP(C12,EventTypes!$A:$A,EventTypes!F:F)</f>
        <v>0</v>
      </c>
      <c r="I12">
        <f>_xlfn.XLOOKUP(C12,EventTypes!$A:$A,EventTypes!G:G)</f>
        <v>0</v>
      </c>
      <c r="J12" s="6"/>
      <c r="K12" s="7"/>
      <c r="L12" s="7"/>
    </row>
    <row r="13" spans="1:12" x14ac:dyDescent="0.35">
      <c r="D13">
        <f>_xlfn.XLOOKUP(C13,EventTypes!$A:$A,EventTypes!B:B)</f>
        <v>0</v>
      </c>
      <c r="E13">
        <f>_xlfn.XLOOKUP(C13,EventTypes!$A:$A,EventTypes!D:D)</f>
        <v>0</v>
      </c>
      <c r="F13">
        <f>_xlfn.XLOOKUP(C13,EventTypes!$A:$A,EventTypes!C:C)</f>
        <v>0</v>
      </c>
      <c r="G13">
        <f>_xlfn.XLOOKUP(C13,EventTypes!$A:$A,EventTypes!E:E)</f>
        <v>0</v>
      </c>
      <c r="H13">
        <f>_xlfn.XLOOKUP(C13,EventTypes!$A:$A,EventTypes!F:F)</f>
        <v>0</v>
      </c>
      <c r="I13">
        <f>_xlfn.XLOOKUP(C13,EventTypes!$A:$A,EventTypes!G:G)</f>
        <v>0</v>
      </c>
      <c r="J13" s="6"/>
      <c r="K13" s="7"/>
      <c r="L13" s="7"/>
    </row>
    <row r="14" spans="1:12" x14ac:dyDescent="0.35">
      <c r="D14">
        <f>_xlfn.XLOOKUP(C14,EventTypes!$A:$A,EventTypes!B:B)</f>
        <v>0</v>
      </c>
      <c r="E14">
        <f>_xlfn.XLOOKUP(C14,EventTypes!$A:$A,EventTypes!D:D)</f>
        <v>0</v>
      </c>
      <c r="F14">
        <f>_xlfn.XLOOKUP(C14,EventTypes!$A:$A,EventTypes!C:C)</f>
        <v>0</v>
      </c>
      <c r="G14">
        <f>_xlfn.XLOOKUP(C14,EventTypes!$A:$A,EventTypes!E:E)</f>
        <v>0</v>
      </c>
      <c r="H14">
        <f>_xlfn.XLOOKUP(C14,EventTypes!$A:$A,EventTypes!F:F)</f>
        <v>0</v>
      </c>
      <c r="I14">
        <f>_xlfn.XLOOKUP(C14,EventTypes!$A:$A,EventTypes!G:G)</f>
        <v>0</v>
      </c>
      <c r="J14" s="6"/>
      <c r="K14" s="7"/>
      <c r="L14" s="7"/>
    </row>
    <row r="15" spans="1:12" x14ac:dyDescent="0.35">
      <c r="D15">
        <f>_xlfn.XLOOKUP(C15,EventTypes!$A:$A,EventTypes!B:B)</f>
        <v>0</v>
      </c>
      <c r="E15">
        <f>_xlfn.XLOOKUP(C15,EventTypes!$A:$A,EventTypes!D:D)</f>
        <v>0</v>
      </c>
      <c r="F15">
        <f>_xlfn.XLOOKUP(C15,EventTypes!$A:$A,EventTypes!C:C)</f>
        <v>0</v>
      </c>
      <c r="G15">
        <f>_xlfn.XLOOKUP(C15,EventTypes!$A:$A,EventTypes!E:E)</f>
        <v>0</v>
      </c>
      <c r="H15">
        <f>_xlfn.XLOOKUP(C15,EventTypes!$A:$A,EventTypes!F:F)</f>
        <v>0</v>
      </c>
      <c r="I15">
        <f>_xlfn.XLOOKUP(C15,EventTypes!$A:$A,EventTypes!G:G)</f>
        <v>0</v>
      </c>
      <c r="J15" s="6"/>
      <c r="K15" s="7"/>
      <c r="L15" s="7"/>
    </row>
    <row r="16" spans="1:12" x14ac:dyDescent="0.35">
      <c r="D16">
        <f>_xlfn.XLOOKUP(C16,EventTypes!$A:$A,EventTypes!B:B)</f>
        <v>0</v>
      </c>
      <c r="E16">
        <f>_xlfn.XLOOKUP(C16,EventTypes!$A:$A,EventTypes!D:D)</f>
        <v>0</v>
      </c>
      <c r="F16">
        <f>_xlfn.XLOOKUP(C16,EventTypes!$A:$A,EventTypes!C:C)</f>
        <v>0</v>
      </c>
      <c r="G16">
        <f>_xlfn.XLOOKUP(C16,EventTypes!$A:$A,EventTypes!E:E)</f>
        <v>0</v>
      </c>
      <c r="H16">
        <f>_xlfn.XLOOKUP(C16,EventTypes!$A:$A,EventTypes!F:F)</f>
        <v>0</v>
      </c>
      <c r="I16">
        <f>_xlfn.XLOOKUP(C16,EventTypes!$A:$A,EventTypes!G:G)</f>
        <v>0</v>
      </c>
      <c r="J16" s="6"/>
      <c r="K16" s="7"/>
      <c r="L16" s="7"/>
    </row>
    <row r="17" spans="4:12" x14ac:dyDescent="0.35">
      <c r="D17">
        <f>_xlfn.XLOOKUP(C17,EventTypes!$A:$A,EventTypes!B:B)</f>
        <v>0</v>
      </c>
      <c r="E17">
        <f>_xlfn.XLOOKUP(C17,EventTypes!$A:$A,EventTypes!D:D)</f>
        <v>0</v>
      </c>
      <c r="F17">
        <f>_xlfn.XLOOKUP(C17,EventTypes!$A:$A,EventTypes!C:C)</f>
        <v>0</v>
      </c>
      <c r="G17">
        <f>_xlfn.XLOOKUP(C17,EventTypes!$A:$A,EventTypes!E:E)</f>
        <v>0</v>
      </c>
      <c r="H17">
        <f>_xlfn.XLOOKUP(C17,EventTypes!$A:$A,EventTypes!F:F)</f>
        <v>0</v>
      </c>
      <c r="I17">
        <f>_xlfn.XLOOKUP(C17,EventTypes!$A:$A,EventTypes!G:G)</f>
        <v>0</v>
      </c>
      <c r="J17" s="6"/>
      <c r="K17" s="7"/>
      <c r="L17" s="7"/>
    </row>
    <row r="18" spans="4:12" x14ac:dyDescent="0.35">
      <c r="D18">
        <f>_xlfn.XLOOKUP(C18,EventTypes!$A:$A,EventTypes!B:B)</f>
        <v>0</v>
      </c>
      <c r="E18">
        <f>_xlfn.XLOOKUP(C18,EventTypes!$A:$A,EventTypes!D:D)</f>
        <v>0</v>
      </c>
      <c r="F18">
        <f>_xlfn.XLOOKUP(C18,EventTypes!$A:$A,EventTypes!C:C)</f>
        <v>0</v>
      </c>
      <c r="G18">
        <f>_xlfn.XLOOKUP(C18,EventTypes!$A:$A,EventTypes!E:E)</f>
        <v>0</v>
      </c>
      <c r="H18">
        <f>_xlfn.XLOOKUP(C18,EventTypes!$A:$A,EventTypes!F:F)</f>
        <v>0</v>
      </c>
      <c r="I18">
        <f>_xlfn.XLOOKUP(C18,EventTypes!$A:$A,EventTypes!G:G)</f>
        <v>0</v>
      </c>
      <c r="J18" s="6"/>
      <c r="K18" s="7"/>
      <c r="L18" s="7"/>
    </row>
    <row r="19" spans="4:12" x14ac:dyDescent="0.35">
      <c r="D19">
        <f>_xlfn.XLOOKUP(C19,EventTypes!$A:$A,EventTypes!B:B)</f>
        <v>0</v>
      </c>
      <c r="E19">
        <f>_xlfn.XLOOKUP(C19,EventTypes!$A:$A,EventTypes!D:D)</f>
        <v>0</v>
      </c>
      <c r="F19">
        <f>_xlfn.XLOOKUP(C19,EventTypes!$A:$A,EventTypes!C:C)</f>
        <v>0</v>
      </c>
      <c r="G19">
        <f>_xlfn.XLOOKUP(C19,EventTypes!$A:$A,EventTypes!E:E)</f>
        <v>0</v>
      </c>
      <c r="H19">
        <f>_xlfn.XLOOKUP(C19,EventTypes!$A:$A,EventTypes!F:F)</f>
        <v>0</v>
      </c>
      <c r="I19">
        <f>_xlfn.XLOOKUP(C19,EventTypes!$A:$A,EventTypes!G:G)</f>
        <v>0</v>
      </c>
      <c r="J19" s="6"/>
      <c r="K19" s="7"/>
      <c r="L19" s="7"/>
    </row>
    <row r="20" spans="4:12" x14ac:dyDescent="0.35">
      <c r="D20">
        <f>_xlfn.XLOOKUP(C20,EventTypes!$A:$A,EventTypes!B:B)</f>
        <v>0</v>
      </c>
      <c r="E20">
        <f>_xlfn.XLOOKUP(C20,EventTypes!$A:$A,EventTypes!D:D)</f>
        <v>0</v>
      </c>
      <c r="F20">
        <f>_xlfn.XLOOKUP(C20,EventTypes!$A:$A,EventTypes!C:C)</f>
        <v>0</v>
      </c>
      <c r="G20">
        <f>_xlfn.XLOOKUP(C20,EventTypes!$A:$A,EventTypes!E:E)</f>
        <v>0</v>
      </c>
      <c r="H20">
        <f>_xlfn.XLOOKUP(C20,EventTypes!$A:$A,EventTypes!F:F)</f>
        <v>0</v>
      </c>
      <c r="I20">
        <f>_xlfn.XLOOKUP(C20,EventTypes!$A:$A,EventTypes!G:G)</f>
        <v>0</v>
      </c>
      <c r="J20" s="6"/>
      <c r="K20" s="7"/>
      <c r="L20" s="7"/>
    </row>
    <row r="21" spans="4:12" x14ac:dyDescent="0.35">
      <c r="D21">
        <f>_xlfn.XLOOKUP(C21,EventTypes!$A:$A,EventTypes!B:B)</f>
        <v>0</v>
      </c>
      <c r="E21">
        <f>_xlfn.XLOOKUP(C21,EventTypes!$A:$A,EventTypes!D:D)</f>
        <v>0</v>
      </c>
      <c r="F21">
        <f>_xlfn.XLOOKUP(C21,EventTypes!$A:$A,EventTypes!C:C)</f>
        <v>0</v>
      </c>
      <c r="G21">
        <f>_xlfn.XLOOKUP(C21,EventTypes!$A:$A,EventTypes!E:E)</f>
        <v>0</v>
      </c>
      <c r="H21">
        <f>_xlfn.XLOOKUP(C21,EventTypes!$A:$A,EventTypes!F:F)</f>
        <v>0</v>
      </c>
      <c r="I21">
        <f>_xlfn.XLOOKUP(C21,EventTypes!$A:$A,EventTypes!G:G)</f>
        <v>0</v>
      </c>
      <c r="J21" s="6"/>
      <c r="K21" s="7"/>
      <c r="L21" s="7"/>
    </row>
    <row r="22" spans="4:12" x14ac:dyDescent="0.35">
      <c r="D22">
        <f>_xlfn.XLOOKUP(C22,EventTypes!$A:$A,EventTypes!B:B)</f>
        <v>0</v>
      </c>
      <c r="E22">
        <f>_xlfn.XLOOKUP(C22,EventTypes!$A:$A,EventTypes!D:D)</f>
        <v>0</v>
      </c>
      <c r="F22">
        <f>_xlfn.XLOOKUP(C22,EventTypes!$A:$A,EventTypes!C:C)</f>
        <v>0</v>
      </c>
      <c r="G22">
        <f>_xlfn.XLOOKUP(C22,EventTypes!$A:$A,EventTypes!E:E)</f>
        <v>0</v>
      </c>
      <c r="H22">
        <f>_xlfn.XLOOKUP(C22,EventTypes!$A:$A,EventTypes!F:F)</f>
        <v>0</v>
      </c>
      <c r="I22">
        <f>_xlfn.XLOOKUP(C22,EventTypes!$A:$A,EventTypes!G:G)</f>
        <v>0</v>
      </c>
      <c r="J22" s="6"/>
      <c r="K22" s="7"/>
      <c r="L22" s="8"/>
    </row>
    <row r="23" spans="4:12" x14ac:dyDescent="0.35">
      <c r="D23">
        <f>_xlfn.XLOOKUP(C23,EventTypes!$A:$A,EventTypes!B:B)</f>
        <v>0</v>
      </c>
      <c r="E23">
        <f>_xlfn.XLOOKUP(C23,EventTypes!$A:$A,EventTypes!D:D)</f>
        <v>0</v>
      </c>
      <c r="F23">
        <f>_xlfn.XLOOKUP(C23,EventTypes!$A:$A,EventTypes!C:C)</f>
        <v>0</v>
      </c>
      <c r="G23">
        <f>_xlfn.XLOOKUP(C23,EventTypes!$A:$A,EventTypes!E:E)</f>
        <v>0</v>
      </c>
      <c r="H23">
        <f>_xlfn.XLOOKUP(C23,EventTypes!$A:$A,EventTypes!F:F)</f>
        <v>0</v>
      </c>
      <c r="I23">
        <f>_xlfn.XLOOKUP(C23,EventTypes!$A:$A,EventTypes!G:G)</f>
        <v>0</v>
      </c>
      <c r="J23" s="6"/>
      <c r="K23" s="7"/>
      <c r="L23" s="7"/>
    </row>
    <row r="24" spans="4:12" x14ac:dyDescent="0.35">
      <c r="D24">
        <f>_xlfn.XLOOKUP(C24,EventTypes!$A:$A,EventTypes!B:B)</f>
        <v>0</v>
      </c>
      <c r="E24">
        <f>_xlfn.XLOOKUP(C24,EventTypes!$A:$A,EventTypes!D:D)</f>
        <v>0</v>
      </c>
      <c r="F24">
        <f>_xlfn.XLOOKUP(C24,EventTypes!$A:$A,EventTypes!C:C)</f>
        <v>0</v>
      </c>
      <c r="G24">
        <f>_xlfn.XLOOKUP(C24,EventTypes!$A:$A,EventTypes!E:E)</f>
        <v>0</v>
      </c>
      <c r="H24">
        <f>_xlfn.XLOOKUP(C24,EventTypes!$A:$A,EventTypes!F:F)</f>
        <v>0</v>
      </c>
      <c r="I24">
        <f>_xlfn.XLOOKUP(C24,EventTypes!$A:$A,EventTypes!G:G)</f>
        <v>0</v>
      </c>
      <c r="J24" s="6"/>
      <c r="K24" s="7"/>
      <c r="L24" s="7"/>
    </row>
    <row r="25" spans="4:12" x14ac:dyDescent="0.35">
      <c r="D25">
        <f>_xlfn.XLOOKUP(C25,EventTypes!$A:$A,EventTypes!B:B)</f>
        <v>0</v>
      </c>
      <c r="E25">
        <f>_xlfn.XLOOKUP(C25,EventTypes!$A:$A,EventTypes!D:D)</f>
        <v>0</v>
      </c>
      <c r="F25">
        <f>_xlfn.XLOOKUP(C25,EventTypes!$A:$A,EventTypes!C:C)</f>
        <v>0</v>
      </c>
      <c r="G25">
        <f>_xlfn.XLOOKUP(C25,EventTypes!$A:$A,EventTypes!E:E)</f>
        <v>0</v>
      </c>
      <c r="H25">
        <f>_xlfn.XLOOKUP(C25,EventTypes!$A:$A,EventTypes!F:F)</f>
        <v>0</v>
      </c>
      <c r="I25">
        <f>_xlfn.XLOOKUP(C25,EventTypes!$A:$A,EventTypes!G:G)</f>
        <v>0</v>
      </c>
      <c r="J25" s="6"/>
      <c r="K25" s="7"/>
      <c r="L25" s="7"/>
    </row>
    <row r="26" spans="4:12" x14ac:dyDescent="0.35">
      <c r="D26">
        <f>_xlfn.XLOOKUP(C26,EventTypes!$A:$A,EventTypes!B:B)</f>
        <v>0</v>
      </c>
      <c r="E26">
        <f>_xlfn.XLOOKUP(C26,EventTypes!$A:$A,EventTypes!D:D)</f>
        <v>0</v>
      </c>
      <c r="F26">
        <f>_xlfn.XLOOKUP(C26,EventTypes!$A:$A,EventTypes!C:C)</f>
        <v>0</v>
      </c>
      <c r="G26">
        <f>_xlfn.XLOOKUP(C26,EventTypes!$A:$A,EventTypes!E:E)</f>
        <v>0</v>
      </c>
      <c r="H26">
        <f>_xlfn.XLOOKUP(C26,EventTypes!$A:$A,EventTypes!F:F)</f>
        <v>0</v>
      </c>
      <c r="I26">
        <f>_xlfn.XLOOKUP(C26,EventTypes!$A:$A,EventTypes!G:G)</f>
        <v>0</v>
      </c>
      <c r="J26" s="6"/>
      <c r="K26" s="7"/>
      <c r="L26" s="7"/>
    </row>
    <row r="27" spans="4:12" x14ac:dyDescent="0.35">
      <c r="D27">
        <f>_xlfn.XLOOKUP(C27,EventTypes!$A:$A,EventTypes!B:B)</f>
        <v>0</v>
      </c>
      <c r="E27">
        <f>_xlfn.XLOOKUP(C27,EventTypes!$A:$A,EventTypes!D:D)</f>
        <v>0</v>
      </c>
      <c r="F27">
        <f>_xlfn.XLOOKUP(C27,EventTypes!$A:$A,EventTypes!C:C)</f>
        <v>0</v>
      </c>
      <c r="G27">
        <f>_xlfn.XLOOKUP(C27,EventTypes!$A:$A,EventTypes!E:E)</f>
        <v>0</v>
      </c>
      <c r="H27">
        <f>_xlfn.XLOOKUP(C27,EventTypes!$A:$A,EventTypes!F:F)</f>
        <v>0</v>
      </c>
      <c r="I27">
        <f>_xlfn.XLOOKUP(C27,EventTypes!$A:$A,EventTypes!G:G)</f>
        <v>0</v>
      </c>
      <c r="J27" s="6"/>
      <c r="K27" s="7"/>
      <c r="L27" s="7"/>
    </row>
    <row r="28" spans="4:12" x14ac:dyDescent="0.35">
      <c r="D28">
        <f>_xlfn.XLOOKUP(C28,EventTypes!$A:$A,EventTypes!B:B)</f>
        <v>0</v>
      </c>
      <c r="E28">
        <f>_xlfn.XLOOKUP(C28,EventTypes!$A:$A,EventTypes!D:D)</f>
        <v>0</v>
      </c>
      <c r="F28">
        <f>_xlfn.XLOOKUP(C28,EventTypes!$A:$A,EventTypes!C:C)</f>
        <v>0</v>
      </c>
      <c r="G28">
        <f>_xlfn.XLOOKUP(C28,EventTypes!$A:$A,EventTypes!E:E)</f>
        <v>0</v>
      </c>
      <c r="H28">
        <f>_xlfn.XLOOKUP(C28,EventTypes!$A:$A,EventTypes!F:F)</f>
        <v>0</v>
      </c>
      <c r="I28">
        <f>_xlfn.XLOOKUP(C28,EventTypes!$A:$A,EventTypes!G:G)</f>
        <v>0</v>
      </c>
      <c r="J28" s="6"/>
      <c r="K28" s="7"/>
      <c r="L28" s="7"/>
    </row>
    <row r="29" spans="4:12" x14ac:dyDescent="0.35">
      <c r="D29">
        <f>_xlfn.XLOOKUP(C29,EventTypes!$A:$A,EventTypes!B:B)</f>
        <v>0</v>
      </c>
      <c r="E29">
        <f>_xlfn.XLOOKUP(C29,EventTypes!$A:$A,EventTypes!D:D)</f>
        <v>0</v>
      </c>
      <c r="F29">
        <f>_xlfn.XLOOKUP(C29,EventTypes!$A:$A,EventTypes!C:C)</f>
        <v>0</v>
      </c>
      <c r="G29">
        <f>_xlfn.XLOOKUP(C29,EventTypes!$A:$A,EventTypes!E:E)</f>
        <v>0</v>
      </c>
      <c r="H29">
        <f>_xlfn.XLOOKUP(C29,EventTypes!$A:$A,EventTypes!F:F)</f>
        <v>0</v>
      </c>
      <c r="I29">
        <f>_xlfn.XLOOKUP(C29,EventTypes!$A:$A,EventTypes!G:G)</f>
        <v>0</v>
      </c>
      <c r="J29" s="6"/>
      <c r="K29" s="7"/>
      <c r="L29" s="7"/>
    </row>
    <row r="30" spans="4:12" ht="18" customHeight="1" x14ac:dyDescent="0.35">
      <c r="D30">
        <f>_xlfn.XLOOKUP(C30,EventTypes!$A:$A,EventTypes!B:B)</f>
        <v>0</v>
      </c>
      <c r="E30">
        <f>_xlfn.XLOOKUP(C30,EventTypes!$A:$A,EventTypes!D:D)</f>
        <v>0</v>
      </c>
      <c r="F30">
        <f>_xlfn.XLOOKUP(C30,EventTypes!$A:$A,EventTypes!C:C)</f>
        <v>0</v>
      </c>
      <c r="G30">
        <f>_xlfn.XLOOKUP(C30,EventTypes!$A:$A,EventTypes!E:E)</f>
        <v>0</v>
      </c>
      <c r="H30">
        <f>_xlfn.XLOOKUP(C30,EventTypes!$A:$A,EventTypes!F:F)</f>
        <v>0</v>
      </c>
      <c r="I30">
        <f>_xlfn.XLOOKUP(C30,EventTypes!$A:$A,EventTypes!G:G)</f>
        <v>0</v>
      </c>
      <c r="J30" s="6"/>
      <c r="K30" s="7"/>
      <c r="L30" s="7"/>
    </row>
    <row r="31" spans="4:12" ht="16" customHeight="1" x14ac:dyDescent="0.35">
      <c r="D31">
        <f>_xlfn.XLOOKUP(C31,EventTypes!$A:$A,EventTypes!B:B)</f>
        <v>0</v>
      </c>
      <c r="E31">
        <f>_xlfn.XLOOKUP(C31,EventTypes!$A:$A,EventTypes!D:D)</f>
        <v>0</v>
      </c>
      <c r="F31">
        <f>_xlfn.XLOOKUP(C31,EventTypes!$A:$A,EventTypes!C:C)</f>
        <v>0</v>
      </c>
      <c r="G31">
        <f>_xlfn.XLOOKUP(C31,EventTypes!$A:$A,EventTypes!E:E)</f>
        <v>0</v>
      </c>
      <c r="H31">
        <f>_xlfn.XLOOKUP(C31,EventTypes!$A:$A,EventTypes!F:F)</f>
        <v>0</v>
      </c>
      <c r="I31">
        <f>_xlfn.XLOOKUP(C31,EventTypes!$A:$A,EventTypes!G:G)</f>
        <v>0</v>
      </c>
      <c r="J31" s="6"/>
      <c r="K31" s="7"/>
      <c r="L31" s="7"/>
    </row>
    <row r="32" spans="4:12" ht="16" customHeight="1" x14ac:dyDescent="0.35">
      <c r="D32">
        <f>_xlfn.XLOOKUP(C32,EventTypes!$A:$A,EventTypes!B:B)</f>
        <v>0</v>
      </c>
      <c r="E32">
        <f>_xlfn.XLOOKUP(C32,EventTypes!$A:$A,EventTypes!D:D)</f>
        <v>0</v>
      </c>
      <c r="F32">
        <f>_xlfn.XLOOKUP(C32,EventTypes!$A:$A,EventTypes!C:C)</f>
        <v>0</v>
      </c>
      <c r="G32">
        <f>_xlfn.XLOOKUP(C32,EventTypes!$A:$A,EventTypes!E:E)</f>
        <v>0</v>
      </c>
      <c r="H32">
        <f>_xlfn.XLOOKUP(C32,EventTypes!$A:$A,EventTypes!F:F)</f>
        <v>0</v>
      </c>
      <c r="I32">
        <f>_xlfn.XLOOKUP(C32,EventTypes!$A:$A,EventTypes!G:G)</f>
        <v>0</v>
      </c>
      <c r="J32" s="6"/>
      <c r="K32" s="7"/>
      <c r="L32" s="7"/>
    </row>
    <row r="33" spans="4:12" ht="16" customHeight="1" x14ac:dyDescent="0.35">
      <c r="D33">
        <f>_xlfn.XLOOKUP(C33,EventTypes!$A:$A,EventTypes!B:B)</f>
        <v>0</v>
      </c>
      <c r="E33">
        <f>_xlfn.XLOOKUP(C33,EventTypes!$A:$A,EventTypes!D:D)</f>
        <v>0</v>
      </c>
      <c r="F33">
        <f>_xlfn.XLOOKUP(C33,EventTypes!$A:$A,EventTypes!C:C)</f>
        <v>0</v>
      </c>
      <c r="G33">
        <f>_xlfn.XLOOKUP(C33,EventTypes!$A:$A,EventTypes!E:E)</f>
        <v>0</v>
      </c>
      <c r="H33">
        <f>_xlfn.XLOOKUP(C33,EventTypes!$A:$A,EventTypes!F:F)</f>
        <v>0</v>
      </c>
      <c r="I33">
        <f>_xlfn.XLOOKUP(C33,EventTypes!$A:$A,EventTypes!G:G)</f>
        <v>0</v>
      </c>
      <c r="J33" s="6"/>
      <c r="K33" s="7"/>
      <c r="L33" s="7"/>
    </row>
    <row r="34" spans="4:12" x14ac:dyDescent="0.35">
      <c r="D34">
        <f>_xlfn.XLOOKUP(C34,EventTypes!$A:$A,EventTypes!B:B)</f>
        <v>0</v>
      </c>
      <c r="E34">
        <f>_xlfn.XLOOKUP(C34,EventTypes!$A:$A,EventTypes!D:D)</f>
        <v>0</v>
      </c>
      <c r="F34">
        <f>_xlfn.XLOOKUP(C34,EventTypes!$A:$A,EventTypes!C:C)</f>
        <v>0</v>
      </c>
      <c r="G34">
        <f>_xlfn.XLOOKUP(C34,EventTypes!$A:$A,EventTypes!E:E)</f>
        <v>0</v>
      </c>
      <c r="H34">
        <f>_xlfn.XLOOKUP(C34,EventTypes!$A:$A,EventTypes!F:F)</f>
        <v>0</v>
      </c>
      <c r="I34">
        <f>_xlfn.XLOOKUP(C34,EventTypes!$A:$A,EventTypes!G:G)</f>
        <v>0</v>
      </c>
      <c r="J34" s="6"/>
      <c r="K34" s="7"/>
      <c r="L34" s="7"/>
    </row>
    <row r="35" spans="4:12" x14ac:dyDescent="0.35">
      <c r="D35">
        <f>_xlfn.XLOOKUP(C35,EventTypes!$A:$A,EventTypes!B:B)</f>
        <v>0</v>
      </c>
      <c r="E35">
        <f>_xlfn.XLOOKUP(C35,EventTypes!$A:$A,EventTypes!D:D)</f>
        <v>0</v>
      </c>
      <c r="F35">
        <f>_xlfn.XLOOKUP(C35,EventTypes!$A:$A,EventTypes!C:C)</f>
        <v>0</v>
      </c>
      <c r="G35">
        <f>_xlfn.XLOOKUP(C35,EventTypes!$A:$A,EventTypes!E:E)</f>
        <v>0</v>
      </c>
      <c r="H35">
        <f>_xlfn.XLOOKUP(C35,EventTypes!$A:$A,EventTypes!F:F)</f>
        <v>0</v>
      </c>
      <c r="I35">
        <f>_xlfn.XLOOKUP(C35,EventTypes!$A:$A,EventTypes!G:G)</f>
        <v>0</v>
      </c>
      <c r="J35" s="6"/>
      <c r="K35" s="7"/>
      <c r="L35" s="7"/>
    </row>
    <row r="36" spans="4:12" x14ac:dyDescent="0.35">
      <c r="D36">
        <f>_xlfn.XLOOKUP(C36,EventTypes!$A:$A,EventTypes!B:B)</f>
        <v>0</v>
      </c>
      <c r="E36">
        <f>_xlfn.XLOOKUP(C36,EventTypes!$A:$A,EventTypes!D:D)</f>
        <v>0</v>
      </c>
      <c r="F36">
        <f>_xlfn.XLOOKUP(C36,EventTypes!$A:$A,EventTypes!C:C)</f>
        <v>0</v>
      </c>
      <c r="G36">
        <f>_xlfn.XLOOKUP(C36,EventTypes!$A:$A,EventTypes!E:E)</f>
        <v>0</v>
      </c>
      <c r="H36">
        <f>_xlfn.XLOOKUP(C36,EventTypes!$A:$A,EventTypes!F:F)</f>
        <v>0</v>
      </c>
      <c r="I36">
        <f>_xlfn.XLOOKUP(C36,EventTypes!$A:$A,EventTypes!G:G)</f>
        <v>0</v>
      </c>
      <c r="J36" s="6"/>
      <c r="K36" s="7"/>
      <c r="L36" s="7"/>
    </row>
    <row r="37" spans="4:12" x14ac:dyDescent="0.35">
      <c r="D37">
        <f>_xlfn.XLOOKUP(C37,EventTypes!$A:$A,EventTypes!B:B)</f>
        <v>0</v>
      </c>
      <c r="E37">
        <f>_xlfn.XLOOKUP(C37,EventTypes!$A:$A,EventTypes!D:D)</f>
        <v>0</v>
      </c>
      <c r="F37">
        <f>_xlfn.XLOOKUP(C37,EventTypes!$A:$A,EventTypes!C:C)</f>
        <v>0</v>
      </c>
      <c r="G37">
        <f>_xlfn.XLOOKUP(C37,EventTypes!$A:$A,EventTypes!E:E)</f>
        <v>0</v>
      </c>
      <c r="H37">
        <f>_xlfn.XLOOKUP(C37,EventTypes!$A:$A,EventTypes!F:F)</f>
        <v>0</v>
      </c>
      <c r="I37">
        <f>_xlfn.XLOOKUP(C37,EventTypes!$A:$A,EventTypes!G:G)</f>
        <v>0</v>
      </c>
      <c r="J37" s="6"/>
      <c r="K37" s="7"/>
      <c r="L37" s="7"/>
    </row>
    <row r="38" spans="4:12" x14ac:dyDescent="0.35">
      <c r="D38">
        <f>_xlfn.XLOOKUP(C38,EventTypes!$A:$A,EventTypes!B:B)</f>
        <v>0</v>
      </c>
      <c r="E38">
        <f>_xlfn.XLOOKUP(C38,EventTypes!$A:$A,EventTypes!D:D)</f>
        <v>0</v>
      </c>
      <c r="F38">
        <f>_xlfn.XLOOKUP(C38,EventTypes!$A:$A,EventTypes!C:C)</f>
        <v>0</v>
      </c>
      <c r="G38">
        <f>_xlfn.XLOOKUP(C38,EventTypes!$A:$A,EventTypes!E:E)</f>
        <v>0</v>
      </c>
      <c r="H38">
        <f>_xlfn.XLOOKUP(C38,EventTypes!$A:$A,EventTypes!F:F)</f>
        <v>0</v>
      </c>
      <c r="I38">
        <f>_xlfn.XLOOKUP(C38,EventTypes!$A:$A,EventTypes!G:G)</f>
        <v>0</v>
      </c>
      <c r="J38" s="6"/>
      <c r="K38" s="7"/>
      <c r="L38" s="7"/>
    </row>
    <row r="39" spans="4:12" x14ac:dyDescent="0.35">
      <c r="D39">
        <f>_xlfn.XLOOKUP(C39,EventTypes!$A:$A,EventTypes!B:B)</f>
        <v>0</v>
      </c>
      <c r="E39">
        <f>_xlfn.XLOOKUP(C39,EventTypes!$A:$A,EventTypes!D:D)</f>
        <v>0</v>
      </c>
      <c r="F39">
        <f>_xlfn.XLOOKUP(C39,EventTypes!$A:$A,EventTypes!C:C)</f>
        <v>0</v>
      </c>
      <c r="G39">
        <f>_xlfn.XLOOKUP(C39,EventTypes!$A:$A,EventTypes!E:E)</f>
        <v>0</v>
      </c>
      <c r="H39">
        <f>_xlfn.XLOOKUP(C39,EventTypes!$A:$A,EventTypes!F:F)</f>
        <v>0</v>
      </c>
      <c r="I39">
        <f>_xlfn.XLOOKUP(C39,EventTypes!$A:$A,EventTypes!G:G)</f>
        <v>0</v>
      </c>
      <c r="J39" s="6"/>
      <c r="K39" s="7"/>
      <c r="L39" s="7"/>
    </row>
    <row r="40" spans="4:12" x14ac:dyDescent="0.35">
      <c r="D40">
        <f>_xlfn.XLOOKUP(C40,EventTypes!$A:$A,EventTypes!B:B)</f>
        <v>0</v>
      </c>
      <c r="E40">
        <f>_xlfn.XLOOKUP(C40,EventTypes!$A:$A,EventTypes!D:D)</f>
        <v>0</v>
      </c>
      <c r="F40">
        <f>_xlfn.XLOOKUP(C40,EventTypes!$A:$A,EventTypes!C:C)</f>
        <v>0</v>
      </c>
      <c r="G40">
        <f>_xlfn.XLOOKUP(C40,EventTypes!$A:$A,EventTypes!E:E)</f>
        <v>0</v>
      </c>
      <c r="H40">
        <f>_xlfn.XLOOKUP(C40,EventTypes!$A:$A,EventTypes!F:F)</f>
        <v>0</v>
      </c>
      <c r="I40">
        <f>_xlfn.XLOOKUP(C40,EventTypes!$A:$A,EventTypes!G:G)</f>
        <v>0</v>
      </c>
      <c r="J40" s="6"/>
      <c r="K40" s="7"/>
      <c r="L40" s="7"/>
    </row>
    <row r="41" spans="4:12" x14ac:dyDescent="0.35">
      <c r="D41">
        <f>_xlfn.XLOOKUP(C41,EventTypes!$A:$A,EventTypes!B:B)</f>
        <v>0</v>
      </c>
      <c r="E41">
        <f>_xlfn.XLOOKUP(C41,EventTypes!$A:$A,EventTypes!D:D)</f>
        <v>0</v>
      </c>
      <c r="F41">
        <f>_xlfn.XLOOKUP(C41,EventTypes!$A:$A,EventTypes!C:C)</f>
        <v>0</v>
      </c>
      <c r="G41">
        <f>_xlfn.XLOOKUP(C41,EventTypes!$A:$A,EventTypes!E:E)</f>
        <v>0</v>
      </c>
      <c r="H41">
        <f>_xlfn.XLOOKUP(C41,EventTypes!$A:$A,EventTypes!F:F)</f>
        <v>0</v>
      </c>
      <c r="I41">
        <f>_xlfn.XLOOKUP(C41,EventTypes!$A:$A,EventTypes!G:G)</f>
        <v>0</v>
      </c>
      <c r="J41" s="6"/>
      <c r="K41" s="7"/>
      <c r="L41" s="7"/>
    </row>
    <row r="42" spans="4:12" x14ac:dyDescent="0.35">
      <c r="D42">
        <f>_xlfn.XLOOKUP(C42,EventTypes!$A:$A,EventTypes!B:B)</f>
        <v>0</v>
      </c>
      <c r="E42">
        <f>_xlfn.XLOOKUP(C42,EventTypes!$A:$A,EventTypes!D:D)</f>
        <v>0</v>
      </c>
      <c r="F42">
        <f>_xlfn.XLOOKUP(C42,EventTypes!$A:$A,EventTypes!C:C)</f>
        <v>0</v>
      </c>
      <c r="G42">
        <f>_xlfn.XLOOKUP(C42,EventTypes!$A:$A,EventTypes!E:E)</f>
        <v>0</v>
      </c>
      <c r="H42">
        <f>_xlfn.XLOOKUP(C42,EventTypes!$A:$A,EventTypes!F:F)</f>
        <v>0</v>
      </c>
      <c r="I42">
        <f>_xlfn.XLOOKUP(C42,EventTypes!$A:$A,EventTypes!G:G)</f>
        <v>0</v>
      </c>
      <c r="J42" s="6"/>
      <c r="K42" s="7"/>
      <c r="L42" s="7"/>
    </row>
    <row r="43" spans="4:12" x14ac:dyDescent="0.35">
      <c r="D43">
        <f>_xlfn.XLOOKUP(C43,EventTypes!$A:$A,EventTypes!B:B)</f>
        <v>0</v>
      </c>
      <c r="E43">
        <f>_xlfn.XLOOKUP(C43,EventTypes!$A:$A,EventTypes!D:D)</f>
        <v>0</v>
      </c>
      <c r="F43">
        <f>_xlfn.XLOOKUP(C43,EventTypes!$A:$A,EventTypes!C:C)</f>
        <v>0</v>
      </c>
      <c r="G43">
        <f>_xlfn.XLOOKUP(C43,EventTypes!$A:$A,EventTypes!E:E)</f>
        <v>0</v>
      </c>
      <c r="H43">
        <f>_xlfn.XLOOKUP(C43,EventTypes!$A:$A,EventTypes!F:F)</f>
        <v>0</v>
      </c>
      <c r="I43">
        <f>_xlfn.XLOOKUP(C43,EventTypes!$A:$A,EventTypes!G:G)</f>
        <v>0</v>
      </c>
      <c r="J43" s="6"/>
      <c r="K43" s="7"/>
      <c r="L43" s="7"/>
    </row>
    <row r="44" spans="4:12" x14ac:dyDescent="0.35">
      <c r="D44">
        <f>_xlfn.XLOOKUP(C44,EventTypes!$A:$A,EventTypes!B:B)</f>
        <v>0</v>
      </c>
      <c r="E44">
        <f>_xlfn.XLOOKUP(C44,EventTypes!$A:$A,EventTypes!D:D)</f>
        <v>0</v>
      </c>
      <c r="F44">
        <f>_xlfn.XLOOKUP(C44,EventTypes!$A:$A,EventTypes!C:C)</f>
        <v>0</v>
      </c>
      <c r="G44">
        <f>_xlfn.XLOOKUP(C44,EventTypes!$A:$A,EventTypes!E:E)</f>
        <v>0</v>
      </c>
      <c r="H44">
        <f>_xlfn.XLOOKUP(C44,EventTypes!$A:$A,EventTypes!F:F)</f>
        <v>0</v>
      </c>
      <c r="I44">
        <f>_xlfn.XLOOKUP(C44,EventTypes!$A:$A,EventTypes!G:G)</f>
        <v>0</v>
      </c>
      <c r="J44" s="6"/>
      <c r="K44" s="7"/>
      <c r="L44" s="7"/>
    </row>
    <row r="45" spans="4:12" x14ac:dyDescent="0.35">
      <c r="D45">
        <f>_xlfn.XLOOKUP(C45,EventTypes!$A:$A,EventTypes!B:B)</f>
        <v>0</v>
      </c>
      <c r="E45">
        <f>_xlfn.XLOOKUP(C45,EventTypes!$A:$A,EventTypes!D:D)</f>
        <v>0</v>
      </c>
      <c r="F45">
        <f>_xlfn.XLOOKUP(C45,EventTypes!$A:$A,EventTypes!C:C)</f>
        <v>0</v>
      </c>
      <c r="G45">
        <f>_xlfn.XLOOKUP(C45,EventTypes!$A:$A,EventTypes!E:E)</f>
        <v>0</v>
      </c>
      <c r="H45">
        <f>_xlfn.XLOOKUP(C45,EventTypes!$A:$A,EventTypes!F:F)</f>
        <v>0</v>
      </c>
      <c r="I45">
        <f>_xlfn.XLOOKUP(C45,EventTypes!$A:$A,EventTypes!G:G)</f>
        <v>0</v>
      </c>
      <c r="J45" s="6"/>
      <c r="K45" s="7"/>
      <c r="L45" s="7"/>
    </row>
    <row r="46" spans="4:12" x14ac:dyDescent="0.35">
      <c r="D46">
        <f>_xlfn.XLOOKUP(C46,EventTypes!$A:$A,EventTypes!B:B)</f>
        <v>0</v>
      </c>
      <c r="E46">
        <f>_xlfn.XLOOKUP(C46,EventTypes!$A:$A,EventTypes!D:D)</f>
        <v>0</v>
      </c>
      <c r="F46">
        <f>_xlfn.XLOOKUP(C46,EventTypes!$A:$A,EventTypes!C:C)</f>
        <v>0</v>
      </c>
      <c r="G46">
        <f>_xlfn.XLOOKUP(C46,EventTypes!$A:$A,EventTypes!E:E)</f>
        <v>0</v>
      </c>
      <c r="H46">
        <f>_xlfn.XLOOKUP(C46,EventTypes!$A:$A,EventTypes!F:F)</f>
        <v>0</v>
      </c>
      <c r="I46">
        <f>_xlfn.XLOOKUP(C46,EventTypes!$A:$A,EventTypes!G:G)</f>
        <v>0</v>
      </c>
      <c r="J46" s="6"/>
      <c r="K46" s="7"/>
      <c r="L46" s="7"/>
    </row>
    <row r="47" spans="4:12" x14ac:dyDescent="0.35">
      <c r="D47">
        <f>_xlfn.XLOOKUP(C47,EventTypes!$A:$A,EventTypes!B:B)</f>
        <v>0</v>
      </c>
      <c r="E47">
        <f>_xlfn.XLOOKUP(C47,EventTypes!$A:$A,EventTypes!D:D)</f>
        <v>0</v>
      </c>
      <c r="F47">
        <f>_xlfn.XLOOKUP(C47,EventTypes!$A:$A,EventTypes!C:C)</f>
        <v>0</v>
      </c>
      <c r="G47">
        <f>_xlfn.XLOOKUP(C47,EventTypes!$A:$A,EventTypes!E:E)</f>
        <v>0</v>
      </c>
      <c r="H47">
        <f>_xlfn.XLOOKUP(C47,EventTypes!$A:$A,EventTypes!F:F)</f>
        <v>0</v>
      </c>
      <c r="I47">
        <f>_xlfn.XLOOKUP(C47,EventTypes!$A:$A,EventTypes!G:G)</f>
        <v>0</v>
      </c>
      <c r="J47" s="6"/>
      <c r="K47" s="7"/>
      <c r="L47" s="7"/>
    </row>
    <row r="48" spans="4:12" x14ac:dyDescent="0.35">
      <c r="D48">
        <f>_xlfn.XLOOKUP(C48,EventTypes!$A:$A,EventTypes!B:B)</f>
        <v>0</v>
      </c>
      <c r="E48">
        <f>_xlfn.XLOOKUP(C48,EventTypes!$A:$A,EventTypes!D:D)</f>
        <v>0</v>
      </c>
      <c r="F48">
        <f>_xlfn.XLOOKUP(C48,EventTypes!$A:$A,EventTypes!C:C)</f>
        <v>0</v>
      </c>
      <c r="G48">
        <f>_xlfn.XLOOKUP(C48,EventTypes!$A:$A,EventTypes!E:E)</f>
        <v>0</v>
      </c>
      <c r="H48">
        <f>_xlfn.XLOOKUP(C48,EventTypes!$A:$A,EventTypes!F:F)</f>
        <v>0</v>
      </c>
      <c r="I48">
        <f>_xlfn.XLOOKUP(C48,EventTypes!$A:$A,EventTypes!G:G)</f>
        <v>0</v>
      </c>
      <c r="J48" s="6"/>
      <c r="K48" s="7"/>
      <c r="L48" s="7"/>
    </row>
    <row r="49" spans="4:12" x14ac:dyDescent="0.35">
      <c r="D49">
        <f>_xlfn.XLOOKUP(C49,EventTypes!$A:$A,EventTypes!B:B)</f>
        <v>0</v>
      </c>
      <c r="E49">
        <f>_xlfn.XLOOKUP(C49,EventTypes!$A:$A,EventTypes!D:D)</f>
        <v>0</v>
      </c>
      <c r="F49">
        <f>_xlfn.XLOOKUP(C49,EventTypes!$A:$A,EventTypes!C:C)</f>
        <v>0</v>
      </c>
      <c r="G49">
        <f>_xlfn.XLOOKUP(C49,EventTypes!$A:$A,EventTypes!E:E)</f>
        <v>0</v>
      </c>
      <c r="H49">
        <f>_xlfn.XLOOKUP(C49,EventTypes!$A:$A,EventTypes!F:F)</f>
        <v>0</v>
      </c>
      <c r="I49">
        <f>_xlfn.XLOOKUP(C49,EventTypes!$A:$A,EventTypes!G:G)</f>
        <v>0</v>
      </c>
      <c r="J49" s="6"/>
      <c r="K49" s="7"/>
      <c r="L49" s="7"/>
    </row>
    <row r="50" spans="4:12" x14ac:dyDescent="0.35">
      <c r="D50">
        <f>_xlfn.XLOOKUP(C50,EventTypes!$A:$A,EventTypes!B:B)</f>
        <v>0</v>
      </c>
      <c r="E50">
        <f>_xlfn.XLOOKUP(C50,EventTypes!$A:$A,EventTypes!D:D)</f>
        <v>0</v>
      </c>
      <c r="F50">
        <f>_xlfn.XLOOKUP(C50,EventTypes!$A:$A,EventTypes!C:C)</f>
        <v>0</v>
      </c>
      <c r="G50">
        <f>_xlfn.XLOOKUP(C50,EventTypes!$A:$A,EventTypes!E:E)</f>
        <v>0</v>
      </c>
      <c r="H50">
        <f>_xlfn.XLOOKUP(C50,EventTypes!$A:$A,EventTypes!F:F)</f>
        <v>0</v>
      </c>
      <c r="I50">
        <f>_xlfn.XLOOKUP(C50,EventTypes!$A:$A,EventTypes!G:G)</f>
        <v>0</v>
      </c>
      <c r="J50" s="6"/>
      <c r="K50" s="7"/>
      <c r="L50" s="7"/>
    </row>
    <row r="51" spans="4:12" x14ac:dyDescent="0.35">
      <c r="D51">
        <f>_xlfn.XLOOKUP(C51,EventTypes!$A:$A,EventTypes!B:B)</f>
        <v>0</v>
      </c>
      <c r="E51">
        <f>_xlfn.XLOOKUP(C51,EventTypes!$A:$A,EventTypes!D:D)</f>
        <v>0</v>
      </c>
      <c r="F51">
        <f>_xlfn.XLOOKUP(C51,EventTypes!$A:$A,EventTypes!C:C)</f>
        <v>0</v>
      </c>
      <c r="G51">
        <f>_xlfn.XLOOKUP(C51,EventTypes!$A:$A,EventTypes!E:E)</f>
        <v>0</v>
      </c>
      <c r="H51">
        <f>_xlfn.XLOOKUP(C51,EventTypes!$A:$A,EventTypes!F:F)</f>
        <v>0</v>
      </c>
      <c r="I51">
        <f>_xlfn.XLOOKUP(C51,EventTypes!$A:$A,EventTypes!G:G)</f>
        <v>0</v>
      </c>
      <c r="J51" s="6"/>
      <c r="K51" s="7"/>
      <c r="L51" s="7"/>
    </row>
    <row r="52" spans="4:12" x14ac:dyDescent="0.35">
      <c r="D52">
        <f>_xlfn.XLOOKUP(C52,EventTypes!$A:$A,EventTypes!B:B)</f>
        <v>0</v>
      </c>
      <c r="E52">
        <f>_xlfn.XLOOKUP(C52,EventTypes!$A:$A,EventTypes!D:D)</f>
        <v>0</v>
      </c>
      <c r="F52">
        <f>_xlfn.XLOOKUP(C52,EventTypes!$A:$A,EventTypes!C:C)</f>
        <v>0</v>
      </c>
      <c r="G52">
        <f>_xlfn.XLOOKUP(C52,EventTypes!$A:$A,EventTypes!E:E)</f>
        <v>0</v>
      </c>
      <c r="H52">
        <f>_xlfn.XLOOKUP(C52,EventTypes!$A:$A,EventTypes!F:F)</f>
        <v>0</v>
      </c>
      <c r="I52">
        <f>_xlfn.XLOOKUP(C52,EventTypes!$A:$A,EventTypes!G:G)</f>
        <v>0</v>
      </c>
      <c r="J52" s="6"/>
      <c r="K52" s="7"/>
      <c r="L52" s="7"/>
    </row>
    <row r="53" spans="4:12" x14ac:dyDescent="0.35">
      <c r="D53">
        <f>_xlfn.XLOOKUP(C53,EventTypes!$A:$A,EventTypes!B:B)</f>
        <v>0</v>
      </c>
      <c r="E53">
        <f>_xlfn.XLOOKUP(C53,EventTypes!$A:$A,EventTypes!D:D)</f>
        <v>0</v>
      </c>
      <c r="F53">
        <f>_xlfn.XLOOKUP(C53,EventTypes!$A:$A,EventTypes!C:C)</f>
        <v>0</v>
      </c>
      <c r="G53">
        <f>_xlfn.XLOOKUP(C53,EventTypes!$A:$A,EventTypes!E:E)</f>
        <v>0</v>
      </c>
      <c r="H53">
        <f>_xlfn.XLOOKUP(C53,EventTypes!$A:$A,EventTypes!F:F)</f>
        <v>0</v>
      </c>
      <c r="I53">
        <f>_xlfn.XLOOKUP(C53,EventTypes!$A:$A,EventTypes!G:G)</f>
        <v>0</v>
      </c>
      <c r="J53" s="6"/>
      <c r="K53" s="7"/>
      <c r="L53" s="7"/>
    </row>
    <row r="54" spans="4:12" x14ac:dyDescent="0.35">
      <c r="D54">
        <f>_xlfn.XLOOKUP(C54,EventTypes!$A:$A,EventTypes!B:B)</f>
        <v>0</v>
      </c>
      <c r="E54">
        <f>_xlfn.XLOOKUP(C54,EventTypes!$A:$A,EventTypes!D:D)</f>
        <v>0</v>
      </c>
      <c r="F54">
        <f>_xlfn.XLOOKUP(C54,EventTypes!$A:$A,EventTypes!C:C)</f>
        <v>0</v>
      </c>
      <c r="G54">
        <f>_xlfn.XLOOKUP(C54,EventTypes!$A:$A,EventTypes!E:E)</f>
        <v>0</v>
      </c>
      <c r="H54">
        <f>_xlfn.XLOOKUP(C54,EventTypes!$A:$A,EventTypes!F:F)</f>
        <v>0</v>
      </c>
      <c r="I54">
        <f>_xlfn.XLOOKUP(C54,EventTypes!$A:$A,EventTypes!G:G)</f>
        <v>0</v>
      </c>
      <c r="J54" s="6"/>
      <c r="K54" s="7"/>
      <c r="L54" s="7"/>
    </row>
    <row r="55" spans="4:12" x14ac:dyDescent="0.35">
      <c r="D55">
        <f>_xlfn.XLOOKUP(C55,EventTypes!$A:$A,EventTypes!B:B)</f>
        <v>0</v>
      </c>
      <c r="E55">
        <f>_xlfn.XLOOKUP(C55,EventTypes!$A:$A,EventTypes!D:D)</f>
        <v>0</v>
      </c>
      <c r="F55">
        <f>_xlfn.XLOOKUP(C55,EventTypes!$A:$A,EventTypes!C:C)</f>
        <v>0</v>
      </c>
      <c r="G55">
        <f>_xlfn.XLOOKUP(C55,EventTypes!$A:$A,EventTypes!E:E)</f>
        <v>0</v>
      </c>
      <c r="H55">
        <f>_xlfn.XLOOKUP(C55,EventTypes!$A:$A,EventTypes!F:F)</f>
        <v>0</v>
      </c>
      <c r="I55">
        <f>_xlfn.XLOOKUP(C55,EventTypes!$A:$A,EventTypes!G:G)</f>
        <v>0</v>
      </c>
      <c r="J55" s="6"/>
      <c r="K55" s="7"/>
      <c r="L55" s="7"/>
    </row>
    <row r="56" spans="4:12" x14ac:dyDescent="0.35">
      <c r="D56">
        <f>_xlfn.XLOOKUP(C56,EventTypes!$A:$A,EventTypes!B:B)</f>
        <v>0</v>
      </c>
      <c r="E56">
        <f>_xlfn.XLOOKUP(C56,EventTypes!$A:$A,EventTypes!D:D)</f>
        <v>0</v>
      </c>
      <c r="F56">
        <f>_xlfn.XLOOKUP(C56,EventTypes!$A:$A,EventTypes!C:C)</f>
        <v>0</v>
      </c>
      <c r="G56">
        <f>_xlfn.XLOOKUP(C56,EventTypes!$A:$A,EventTypes!E:E)</f>
        <v>0</v>
      </c>
      <c r="H56">
        <f>_xlfn.XLOOKUP(C56,EventTypes!$A:$A,EventTypes!F:F)</f>
        <v>0</v>
      </c>
      <c r="I56">
        <f>_xlfn.XLOOKUP(C56,EventTypes!$A:$A,EventTypes!G:G)</f>
        <v>0</v>
      </c>
      <c r="J56" s="6"/>
      <c r="K56" s="7"/>
      <c r="L56" s="7"/>
    </row>
    <row r="57" spans="4:12" x14ac:dyDescent="0.35">
      <c r="D57">
        <f>_xlfn.XLOOKUP(C57,EventTypes!$A:$A,EventTypes!B:B)</f>
        <v>0</v>
      </c>
      <c r="E57">
        <f>_xlfn.XLOOKUP(C57,EventTypes!$A:$A,EventTypes!D:D)</f>
        <v>0</v>
      </c>
      <c r="F57">
        <f>_xlfn.XLOOKUP(C57,EventTypes!$A:$A,EventTypes!C:C)</f>
        <v>0</v>
      </c>
      <c r="G57">
        <f>_xlfn.XLOOKUP(C57,EventTypes!$A:$A,EventTypes!E:E)</f>
        <v>0</v>
      </c>
      <c r="H57">
        <f>_xlfn.XLOOKUP(C57,EventTypes!$A:$A,EventTypes!F:F)</f>
        <v>0</v>
      </c>
      <c r="I57">
        <f>_xlfn.XLOOKUP(C57,EventTypes!$A:$A,EventTypes!G:G)</f>
        <v>0</v>
      </c>
      <c r="J57" s="6"/>
      <c r="K57" s="7"/>
      <c r="L57" s="7"/>
    </row>
    <row r="58" spans="4:12" x14ac:dyDescent="0.35">
      <c r="D58">
        <f>_xlfn.XLOOKUP(C58,EventTypes!$A:$A,EventTypes!B:B)</f>
        <v>0</v>
      </c>
      <c r="E58">
        <f>_xlfn.XLOOKUP(C58,EventTypes!$A:$A,EventTypes!D:D)</f>
        <v>0</v>
      </c>
      <c r="F58">
        <f>_xlfn.XLOOKUP(C58,EventTypes!$A:$A,EventTypes!C:C)</f>
        <v>0</v>
      </c>
      <c r="G58">
        <f>_xlfn.XLOOKUP(C58,EventTypes!$A:$A,EventTypes!E:E)</f>
        <v>0</v>
      </c>
      <c r="H58">
        <f>_xlfn.XLOOKUP(C58,EventTypes!$A:$A,EventTypes!F:F)</f>
        <v>0</v>
      </c>
      <c r="I58">
        <f>_xlfn.XLOOKUP(C58,EventTypes!$A:$A,EventTypes!G:G)</f>
        <v>0</v>
      </c>
      <c r="J58" s="6"/>
      <c r="K58" s="7"/>
      <c r="L58" s="7"/>
    </row>
    <row r="59" spans="4:12" x14ac:dyDescent="0.35">
      <c r="D59">
        <f>_xlfn.XLOOKUP(C59,EventTypes!$A:$A,EventTypes!B:B)</f>
        <v>0</v>
      </c>
      <c r="E59">
        <f>_xlfn.XLOOKUP(C59,EventTypes!$A:$A,EventTypes!D:D)</f>
        <v>0</v>
      </c>
      <c r="F59">
        <f>_xlfn.XLOOKUP(C59,EventTypes!$A:$A,EventTypes!C:C)</f>
        <v>0</v>
      </c>
      <c r="G59">
        <f>_xlfn.XLOOKUP(C59,EventTypes!$A:$A,EventTypes!E:E)</f>
        <v>0</v>
      </c>
      <c r="H59">
        <f>_xlfn.XLOOKUP(C59,EventTypes!$A:$A,EventTypes!F:F)</f>
        <v>0</v>
      </c>
      <c r="I59">
        <f>_xlfn.XLOOKUP(C59,EventTypes!$A:$A,EventTypes!G:G)</f>
        <v>0</v>
      </c>
      <c r="J59" s="6"/>
      <c r="K59" s="7"/>
      <c r="L59" s="7"/>
    </row>
    <row r="60" spans="4:12" x14ac:dyDescent="0.35">
      <c r="D60">
        <f>_xlfn.XLOOKUP(C60,EventTypes!$A:$A,EventTypes!B:B)</f>
        <v>0</v>
      </c>
      <c r="E60">
        <f>_xlfn.XLOOKUP(C60,EventTypes!$A:$A,EventTypes!D:D)</f>
        <v>0</v>
      </c>
      <c r="F60">
        <f>_xlfn.XLOOKUP(C60,EventTypes!$A:$A,EventTypes!C:C)</f>
        <v>0</v>
      </c>
      <c r="G60">
        <f>_xlfn.XLOOKUP(C60,EventTypes!$A:$A,EventTypes!E:E)</f>
        <v>0</v>
      </c>
      <c r="H60">
        <f>_xlfn.XLOOKUP(C60,EventTypes!$A:$A,EventTypes!F:F)</f>
        <v>0</v>
      </c>
      <c r="I60">
        <f>_xlfn.XLOOKUP(C60,EventTypes!$A:$A,EventTypes!G:G)</f>
        <v>0</v>
      </c>
      <c r="J60" s="6"/>
      <c r="K60" s="7"/>
      <c r="L60" s="7"/>
    </row>
    <row r="61" spans="4:12" x14ac:dyDescent="0.35">
      <c r="D61">
        <f>_xlfn.XLOOKUP(C61,EventTypes!$A:$A,EventTypes!B:B)</f>
        <v>0</v>
      </c>
      <c r="E61">
        <f>_xlfn.XLOOKUP(C61,EventTypes!$A:$A,EventTypes!D:D)</f>
        <v>0</v>
      </c>
      <c r="F61">
        <f>_xlfn.XLOOKUP(C61,EventTypes!$A:$A,EventTypes!C:C)</f>
        <v>0</v>
      </c>
      <c r="G61">
        <f>_xlfn.XLOOKUP(C61,EventTypes!$A:$A,EventTypes!E:E)</f>
        <v>0</v>
      </c>
      <c r="H61">
        <f>_xlfn.XLOOKUP(C61,EventTypes!$A:$A,EventTypes!F:F)</f>
        <v>0</v>
      </c>
      <c r="I61">
        <f>_xlfn.XLOOKUP(C61,EventTypes!$A:$A,EventTypes!G:G)</f>
        <v>0</v>
      </c>
      <c r="J61" s="6"/>
      <c r="K61" s="7"/>
      <c r="L61" s="7"/>
    </row>
    <row r="62" spans="4:12" x14ac:dyDescent="0.35">
      <c r="D62">
        <f>_xlfn.XLOOKUP(C62,EventTypes!$A:$A,EventTypes!B:B)</f>
        <v>0</v>
      </c>
      <c r="E62">
        <f>_xlfn.XLOOKUP(C62,EventTypes!$A:$A,EventTypes!D:D)</f>
        <v>0</v>
      </c>
      <c r="F62">
        <f>_xlfn.XLOOKUP(C62,EventTypes!$A:$A,EventTypes!C:C)</f>
        <v>0</v>
      </c>
      <c r="G62">
        <f>_xlfn.XLOOKUP(C62,EventTypes!$A:$A,EventTypes!E:E)</f>
        <v>0</v>
      </c>
      <c r="H62">
        <f>_xlfn.XLOOKUP(C62,EventTypes!$A:$A,EventTypes!F:F)</f>
        <v>0</v>
      </c>
      <c r="I62">
        <f>_xlfn.XLOOKUP(C62,EventTypes!$A:$A,EventTypes!G:G)</f>
        <v>0</v>
      </c>
      <c r="J62" s="6"/>
      <c r="K62" s="7"/>
      <c r="L62" s="7"/>
    </row>
    <row r="63" spans="4:12" x14ac:dyDescent="0.35">
      <c r="D63">
        <f>_xlfn.XLOOKUP(C63,EventTypes!$A:$A,EventTypes!B:B)</f>
        <v>0</v>
      </c>
      <c r="E63">
        <f>_xlfn.XLOOKUP(C63,EventTypes!$A:$A,EventTypes!D:D)</f>
        <v>0</v>
      </c>
      <c r="F63">
        <f>_xlfn.XLOOKUP(C63,EventTypes!$A:$A,EventTypes!C:C)</f>
        <v>0</v>
      </c>
      <c r="G63">
        <f>_xlfn.XLOOKUP(C63,EventTypes!$A:$A,EventTypes!E:E)</f>
        <v>0</v>
      </c>
      <c r="H63">
        <f>_xlfn.XLOOKUP(C63,EventTypes!$A:$A,EventTypes!F:F)</f>
        <v>0</v>
      </c>
      <c r="I63">
        <f>_xlfn.XLOOKUP(C63,EventTypes!$A:$A,EventTypes!G:G)</f>
        <v>0</v>
      </c>
      <c r="J63" s="6"/>
      <c r="K63" s="7"/>
      <c r="L63" s="7"/>
    </row>
    <row r="64" spans="4:12" x14ac:dyDescent="0.35">
      <c r="D64">
        <f>_xlfn.XLOOKUP(C64,EventTypes!$A:$A,EventTypes!B:B)</f>
        <v>0</v>
      </c>
      <c r="E64">
        <f>_xlfn.XLOOKUP(C64,EventTypes!$A:$A,EventTypes!D:D)</f>
        <v>0</v>
      </c>
      <c r="F64">
        <f>_xlfn.XLOOKUP(C64,EventTypes!$A:$A,EventTypes!C:C)</f>
        <v>0</v>
      </c>
      <c r="G64">
        <f>_xlfn.XLOOKUP(C64,EventTypes!$A:$A,EventTypes!E:E)</f>
        <v>0</v>
      </c>
      <c r="H64">
        <f>_xlfn.XLOOKUP(C64,EventTypes!$A:$A,EventTypes!F:F)</f>
        <v>0</v>
      </c>
      <c r="I64">
        <f>_xlfn.XLOOKUP(C64,EventTypes!$A:$A,EventTypes!G:G)</f>
        <v>0</v>
      </c>
    </row>
    <row r="65" spans="4:9" x14ac:dyDescent="0.35">
      <c r="D65">
        <f>_xlfn.XLOOKUP(C65,EventTypes!$A:$A,EventTypes!B:B)</f>
        <v>0</v>
      </c>
      <c r="E65">
        <f>_xlfn.XLOOKUP(C65,EventTypes!$A:$A,EventTypes!D:D)</f>
        <v>0</v>
      </c>
      <c r="F65">
        <f>_xlfn.XLOOKUP(C65,EventTypes!$A:$A,EventTypes!C:C)</f>
        <v>0</v>
      </c>
      <c r="G65">
        <f>_xlfn.XLOOKUP(C65,EventTypes!$A:$A,EventTypes!E:E)</f>
        <v>0</v>
      </c>
      <c r="H65">
        <f>_xlfn.XLOOKUP(C65,EventTypes!$A:$A,EventTypes!F:F)</f>
        <v>0</v>
      </c>
      <c r="I65">
        <f>_xlfn.XLOOKUP(C65,EventTypes!$A:$A,EventTypes!G:G)</f>
        <v>0</v>
      </c>
    </row>
    <row r="66" spans="4:9" x14ac:dyDescent="0.35">
      <c r="D66">
        <f>_xlfn.XLOOKUP(C66,EventTypes!$A:$A,EventTypes!B:B)</f>
        <v>0</v>
      </c>
      <c r="E66">
        <f>_xlfn.XLOOKUP(C66,EventTypes!$A:$A,EventTypes!D:D)</f>
        <v>0</v>
      </c>
      <c r="F66">
        <f>_xlfn.XLOOKUP(C66,EventTypes!$A:$A,EventTypes!C:C)</f>
        <v>0</v>
      </c>
      <c r="G66">
        <f>_xlfn.XLOOKUP(C66,EventTypes!$A:$A,EventTypes!E:E)</f>
        <v>0</v>
      </c>
      <c r="H66">
        <f>_xlfn.XLOOKUP(C66,EventTypes!$A:$A,EventTypes!F:F)</f>
        <v>0</v>
      </c>
      <c r="I66">
        <f>_xlfn.XLOOKUP(C66,EventTypes!$A:$A,EventTypes!G:G)</f>
        <v>0</v>
      </c>
    </row>
    <row r="67" spans="4:9" x14ac:dyDescent="0.35">
      <c r="D67">
        <f>_xlfn.XLOOKUP(C67,EventTypes!$A:$A,EventTypes!B:B)</f>
        <v>0</v>
      </c>
      <c r="E67">
        <f>_xlfn.XLOOKUP(C67,EventTypes!$A:$A,EventTypes!D:D)</f>
        <v>0</v>
      </c>
      <c r="F67">
        <f>_xlfn.XLOOKUP(C67,EventTypes!$A:$A,EventTypes!C:C)</f>
        <v>0</v>
      </c>
      <c r="G67">
        <f>_xlfn.XLOOKUP(C67,EventTypes!$A:$A,EventTypes!E:E)</f>
        <v>0</v>
      </c>
      <c r="H67">
        <f>_xlfn.XLOOKUP(C67,EventTypes!$A:$A,EventTypes!F:F)</f>
        <v>0</v>
      </c>
      <c r="I67">
        <f>_xlfn.XLOOKUP(C67,EventTypes!$A:$A,EventTypes!G:G)</f>
        <v>0</v>
      </c>
    </row>
    <row r="68" spans="4:9" x14ac:dyDescent="0.35">
      <c r="D68">
        <f>_xlfn.XLOOKUP(C68,EventTypes!$A:$A,EventTypes!B:B)</f>
        <v>0</v>
      </c>
      <c r="E68">
        <f>_xlfn.XLOOKUP(C68,EventTypes!$A:$A,EventTypes!D:D)</f>
        <v>0</v>
      </c>
      <c r="F68">
        <f>_xlfn.XLOOKUP(C68,EventTypes!$A:$A,EventTypes!C:C)</f>
        <v>0</v>
      </c>
      <c r="G68">
        <f>_xlfn.XLOOKUP(C68,EventTypes!$A:$A,EventTypes!E:E)</f>
        <v>0</v>
      </c>
      <c r="H68">
        <f>_xlfn.XLOOKUP(C68,EventTypes!$A:$A,EventTypes!F:F)</f>
        <v>0</v>
      </c>
      <c r="I68">
        <f>_xlfn.XLOOKUP(C68,EventTypes!$A:$A,EventTypes!G:G)</f>
        <v>0</v>
      </c>
    </row>
    <row r="69" spans="4:9" x14ac:dyDescent="0.35">
      <c r="D69">
        <f>_xlfn.XLOOKUP(C69,EventTypes!$A:$A,EventTypes!B:B)</f>
        <v>0</v>
      </c>
      <c r="E69">
        <f>_xlfn.XLOOKUP(C69,EventTypes!$A:$A,EventTypes!D:D)</f>
        <v>0</v>
      </c>
      <c r="F69">
        <f>_xlfn.XLOOKUP(C69,EventTypes!$A:$A,EventTypes!C:C)</f>
        <v>0</v>
      </c>
      <c r="G69">
        <f>_xlfn.XLOOKUP(C69,EventTypes!$A:$A,EventTypes!E:E)</f>
        <v>0</v>
      </c>
      <c r="H69">
        <f>_xlfn.XLOOKUP(C69,EventTypes!$A:$A,EventTypes!F:F)</f>
        <v>0</v>
      </c>
      <c r="I69">
        <f>_xlfn.XLOOKUP(C69,EventTypes!$A:$A,EventTypes!G:G)</f>
        <v>0</v>
      </c>
    </row>
    <row r="70" spans="4:9" x14ac:dyDescent="0.35">
      <c r="D70">
        <f>_xlfn.XLOOKUP(C70,EventTypes!$A:$A,EventTypes!B:B)</f>
        <v>0</v>
      </c>
      <c r="E70">
        <f>_xlfn.XLOOKUP(C70,EventTypes!$A:$A,EventTypes!D:D)</f>
        <v>0</v>
      </c>
      <c r="F70">
        <f>_xlfn.XLOOKUP(C70,EventTypes!$A:$A,EventTypes!C:C)</f>
        <v>0</v>
      </c>
      <c r="G70">
        <f>_xlfn.XLOOKUP(C70,EventTypes!$A:$A,EventTypes!E:E)</f>
        <v>0</v>
      </c>
      <c r="H70">
        <f>_xlfn.XLOOKUP(C70,EventTypes!$A:$A,EventTypes!F:F)</f>
        <v>0</v>
      </c>
      <c r="I70">
        <f>_xlfn.XLOOKUP(C70,EventTypes!$A:$A,EventTypes!G:G)</f>
        <v>0</v>
      </c>
    </row>
    <row r="71" spans="4:9" x14ac:dyDescent="0.35">
      <c r="D71">
        <f>_xlfn.XLOOKUP(C71,EventTypes!$A:$A,EventTypes!B:B)</f>
        <v>0</v>
      </c>
      <c r="E71">
        <f>_xlfn.XLOOKUP(C71,EventTypes!$A:$A,EventTypes!D:D)</f>
        <v>0</v>
      </c>
      <c r="F71">
        <f>_xlfn.XLOOKUP(C71,EventTypes!$A:$A,EventTypes!C:C)</f>
        <v>0</v>
      </c>
      <c r="G71">
        <f>_xlfn.XLOOKUP(C71,EventTypes!$A:$A,EventTypes!E:E)</f>
        <v>0</v>
      </c>
      <c r="H71">
        <f>_xlfn.XLOOKUP(C71,EventTypes!$A:$A,EventTypes!F:F)</f>
        <v>0</v>
      </c>
      <c r="I71">
        <f>_xlfn.XLOOKUP(C71,EventTypes!$A:$A,EventTypes!G:G)</f>
        <v>0</v>
      </c>
    </row>
    <row r="72" spans="4:9" x14ac:dyDescent="0.35">
      <c r="D72">
        <f>_xlfn.XLOOKUP(C72,EventTypes!$A:$A,EventTypes!B:B)</f>
        <v>0</v>
      </c>
      <c r="E72">
        <f>_xlfn.XLOOKUP(C72,EventTypes!$A:$A,EventTypes!D:D)</f>
        <v>0</v>
      </c>
      <c r="F72">
        <f>_xlfn.XLOOKUP(C72,EventTypes!$A:$A,EventTypes!C:C)</f>
        <v>0</v>
      </c>
      <c r="G72">
        <f>_xlfn.XLOOKUP(C72,EventTypes!$A:$A,EventTypes!E:E)</f>
        <v>0</v>
      </c>
      <c r="H72">
        <f>_xlfn.XLOOKUP(C72,EventTypes!$A:$A,EventTypes!F:F)</f>
        <v>0</v>
      </c>
      <c r="I72">
        <f>_xlfn.XLOOKUP(C72,EventTypes!$A:$A,EventTypes!G:G)</f>
        <v>0</v>
      </c>
    </row>
    <row r="73" spans="4:9" x14ac:dyDescent="0.35">
      <c r="D73">
        <f>_xlfn.XLOOKUP(C73,EventTypes!$A:$A,EventTypes!B:B)</f>
        <v>0</v>
      </c>
      <c r="E73">
        <f>_xlfn.XLOOKUP(C73,EventTypes!$A:$A,EventTypes!D:D)</f>
        <v>0</v>
      </c>
      <c r="F73">
        <f>_xlfn.XLOOKUP(C73,EventTypes!$A:$A,EventTypes!C:C)</f>
        <v>0</v>
      </c>
      <c r="G73">
        <f>_xlfn.XLOOKUP(C73,EventTypes!$A:$A,EventTypes!E:E)</f>
        <v>0</v>
      </c>
      <c r="H73">
        <f>_xlfn.XLOOKUP(C73,EventTypes!$A:$A,EventTypes!F:F)</f>
        <v>0</v>
      </c>
      <c r="I73">
        <f>_xlfn.XLOOKUP(C73,EventTypes!$A:$A,EventTypes!G:G)</f>
        <v>0</v>
      </c>
    </row>
    <row r="74" spans="4:9" x14ac:dyDescent="0.35">
      <c r="D74">
        <f>_xlfn.XLOOKUP(C74,EventTypes!$A:$A,EventTypes!B:B)</f>
        <v>0</v>
      </c>
      <c r="E74">
        <f>_xlfn.XLOOKUP(C74,EventTypes!$A:$A,EventTypes!D:D)</f>
        <v>0</v>
      </c>
      <c r="F74">
        <f>_xlfn.XLOOKUP(C74,EventTypes!$A:$A,EventTypes!C:C)</f>
        <v>0</v>
      </c>
      <c r="G74">
        <f>_xlfn.XLOOKUP(C74,EventTypes!$A:$A,EventTypes!E:E)</f>
        <v>0</v>
      </c>
      <c r="H74">
        <f>_xlfn.XLOOKUP(C74,EventTypes!$A:$A,EventTypes!F:F)</f>
        <v>0</v>
      </c>
      <c r="I74">
        <f>_xlfn.XLOOKUP(C74,EventTypes!$A:$A,EventTypes!G:G)</f>
        <v>0</v>
      </c>
    </row>
    <row r="75" spans="4:9" x14ac:dyDescent="0.35">
      <c r="D75">
        <f>_xlfn.XLOOKUP(C75,EventTypes!$A:$A,EventTypes!B:B)</f>
        <v>0</v>
      </c>
      <c r="E75">
        <f>_xlfn.XLOOKUP(C75,EventTypes!$A:$A,EventTypes!D:D)</f>
        <v>0</v>
      </c>
      <c r="F75">
        <f>_xlfn.XLOOKUP(C75,EventTypes!$A:$A,EventTypes!C:C)</f>
        <v>0</v>
      </c>
      <c r="G75">
        <f>_xlfn.XLOOKUP(C75,EventTypes!$A:$A,EventTypes!E:E)</f>
        <v>0</v>
      </c>
      <c r="H75">
        <f>_xlfn.XLOOKUP(C75,EventTypes!$A:$A,EventTypes!F:F)</f>
        <v>0</v>
      </c>
      <c r="I75">
        <f>_xlfn.XLOOKUP(C75,EventTypes!$A:$A,EventTypes!G:G)</f>
        <v>0</v>
      </c>
    </row>
    <row r="76" spans="4:9" x14ac:dyDescent="0.35">
      <c r="D76">
        <f>_xlfn.XLOOKUP(C76,EventTypes!$A:$A,EventTypes!B:B)</f>
        <v>0</v>
      </c>
      <c r="E76">
        <f>_xlfn.XLOOKUP(C76,EventTypes!$A:$A,EventTypes!D:D)</f>
        <v>0</v>
      </c>
      <c r="F76">
        <f>_xlfn.XLOOKUP(C76,EventTypes!$A:$A,EventTypes!C:C)</f>
        <v>0</v>
      </c>
      <c r="G76">
        <f>_xlfn.XLOOKUP(C76,EventTypes!$A:$A,EventTypes!E:E)</f>
        <v>0</v>
      </c>
      <c r="H76">
        <f>_xlfn.XLOOKUP(C76,EventTypes!$A:$A,EventTypes!F:F)</f>
        <v>0</v>
      </c>
      <c r="I76">
        <f>_xlfn.XLOOKUP(C76,EventTypes!$A:$A,EventTypes!G:G)</f>
        <v>0</v>
      </c>
    </row>
    <row r="77" spans="4:9" x14ac:dyDescent="0.35">
      <c r="D77">
        <f>_xlfn.XLOOKUP(C77,EventTypes!$A:$A,EventTypes!B:B)</f>
        <v>0</v>
      </c>
      <c r="E77">
        <f>_xlfn.XLOOKUP(C77,EventTypes!$A:$A,EventTypes!D:D)</f>
        <v>0</v>
      </c>
      <c r="F77">
        <f>_xlfn.XLOOKUP(C77,EventTypes!$A:$A,EventTypes!C:C)</f>
        <v>0</v>
      </c>
      <c r="G77">
        <f>_xlfn.XLOOKUP(C77,EventTypes!$A:$A,EventTypes!E:E)</f>
        <v>0</v>
      </c>
      <c r="H77">
        <f>_xlfn.XLOOKUP(C77,EventTypes!$A:$A,EventTypes!F:F)</f>
        <v>0</v>
      </c>
      <c r="I77">
        <f>_xlfn.XLOOKUP(C77,EventTypes!$A:$A,EventTypes!G:G)</f>
        <v>0</v>
      </c>
    </row>
    <row r="78" spans="4:9" x14ac:dyDescent="0.35">
      <c r="D78">
        <f>_xlfn.XLOOKUP(C78,EventTypes!$A:$A,EventTypes!B:B)</f>
        <v>0</v>
      </c>
      <c r="E78">
        <f>_xlfn.XLOOKUP(C78,EventTypes!$A:$A,EventTypes!D:D)</f>
        <v>0</v>
      </c>
      <c r="F78">
        <f>_xlfn.XLOOKUP(C78,EventTypes!$A:$A,EventTypes!C:C)</f>
        <v>0</v>
      </c>
      <c r="G78">
        <f>_xlfn.XLOOKUP(C78,EventTypes!$A:$A,EventTypes!E:E)</f>
        <v>0</v>
      </c>
      <c r="H78">
        <f>_xlfn.XLOOKUP(C78,EventTypes!$A:$A,EventTypes!F:F)</f>
        <v>0</v>
      </c>
      <c r="I78">
        <f>_xlfn.XLOOKUP(C78,EventTypes!$A:$A,EventTypes!G:G)</f>
        <v>0</v>
      </c>
    </row>
    <row r="79" spans="4:9" x14ac:dyDescent="0.35">
      <c r="D79">
        <f>_xlfn.XLOOKUP(C79,EventTypes!$A:$A,EventTypes!B:B)</f>
        <v>0</v>
      </c>
      <c r="E79">
        <f>_xlfn.XLOOKUP(C79,EventTypes!$A:$A,EventTypes!D:D)</f>
        <v>0</v>
      </c>
      <c r="F79">
        <f>_xlfn.XLOOKUP(C79,EventTypes!$A:$A,EventTypes!C:C)</f>
        <v>0</v>
      </c>
      <c r="G79">
        <f>_xlfn.XLOOKUP(C79,EventTypes!$A:$A,EventTypes!E:E)</f>
        <v>0</v>
      </c>
      <c r="H79">
        <f>_xlfn.XLOOKUP(C79,EventTypes!$A:$A,EventTypes!F:F)</f>
        <v>0</v>
      </c>
      <c r="I79">
        <f>_xlfn.XLOOKUP(C79,EventTypes!$A:$A,EventTypes!G:G)</f>
        <v>0</v>
      </c>
    </row>
    <row r="80" spans="4:9" x14ac:dyDescent="0.35">
      <c r="D80">
        <f>_xlfn.XLOOKUP(C80,EventTypes!$A:$A,EventTypes!B:B)</f>
        <v>0</v>
      </c>
      <c r="E80">
        <f>_xlfn.XLOOKUP(C80,EventTypes!$A:$A,EventTypes!D:D)</f>
        <v>0</v>
      </c>
      <c r="F80">
        <f>_xlfn.XLOOKUP(C80,EventTypes!$A:$A,EventTypes!C:C)</f>
        <v>0</v>
      </c>
      <c r="G80">
        <f>_xlfn.XLOOKUP(C80,EventTypes!$A:$A,EventTypes!E:E)</f>
        <v>0</v>
      </c>
      <c r="H80">
        <f>_xlfn.XLOOKUP(C80,EventTypes!$A:$A,EventTypes!F:F)</f>
        <v>0</v>
      </c>
      <c r="I80">
        <f>_xlfn.XLOOKUP(C80,EventTypes!$A:$A,EventTypes!G:G)</f>
        <v>0</v>
      </c>
    </row>
    <row r="81" spans="4:9" x14ac:dyDescent="0.35">
      <c r="D81">
        <f>_xlfn.XLOOKUP(C81,EventTypes!$A:$A,EventTypes!B:B)</f>
        <v>0</v>
      </c>
      <c r="E81">
        <f>_xlfn.XLOOKUP(C81,EventTypes!$A:$A,EventTypes!D:D)</f>
        <v>0</v>
      </c>
      <c r="F81">
        <f>_xlfn.XLOOKUP(C81,EventTypes!$A:$A,EventTypes!C:C)</f>
        <v>0</v>
      </c>
      <c r="G81">
        <f>_xlfn.XLOOKUP(C81,EventTypes!$A:$A,EventTypes!E:E)</f>
        <v>0</v>
      </c>
      <c r="H81">
        <f>_xlfn.XLOOKUP(C81,EventTypes!$A:$A,EventTypes!F:F)</f>
        <v>0</v>
      </c>
      <c r="I81">
        <f>_xlfn.XLOOKUP(C81,EventTypes!$A:$A,EventTypes!G:G)</f>
        <v>0</v>
      </c>
    </row>
    <row r="82" spans="4:9" x14ac:dyDescent="0.35">
      <c r="D82">
        <f>_xlfn.XLOOKUP(C82,EventTypes!$A:$A,EventTypes!B:B)</f>
        <v>0</v>
      </c>
      <c r="E82">
        <f>_xlfn.XLOOKUP(C82,EventTypes!$A:$A,EventTypes!D:D)</f>
        <v>0</v>
      </c>
      <c r="F82">
        <f>_xlfn.XLOOKUP(C82,EventTypes!$A:$A,EventTypes!C:C)</f>
        <v>0</v>
      </c>
      <c r="G82">
        <f>_xlfn.XLOOKUP(C82,EventTypes!$A:$A,EventTypes!E:E)</f>
        <v>0</v>
      </c>
      <c r="H82">
        <f>_xlfn.XLOOKUP(C82,EventTypes!$A:$A,EventTypes!F:F)</f>
        <v>0</v>
      </c>
      <c r="I82">
        <f>_xlfn.XLOOKUP(C82,EventTypes!$A:$A,EventTypes!G:G)</f>
        <v>0</v>
      </c>
    </row>
    <row r="83" spans="4:9" x14ac:dyDescent="0.35">
      <c r="D83">
        <f>_xlfn.XLOOKUP(C83,EventTypes!$A:$A,EventTypes!B:B)</f>
        <v>0</v>
      </c>
      <c r="E83">
        <f>_xlfn.XLOOKUP(C83,EventTypes!$A:$A,EventTypes!D:D)</f>
        <v>0</v>
      </c>
      <c r="F83">
        <f>_xlfn.XLOOKUP(C83,EventTypes!$A:$A,EventTypes!C:C)</f>
        <v>0</v>
      </c>
      <c r="G83">
        <f>_xlfn.XLOOKUP(C83,EventTypes!$A:$A,EventTypes!E:E)</f>
        <v>0</v>
      </c>
      <c r="H83">
        <f>_xlfn.XLOOKUP(C83,EventTypes!$A:$A,EventTypes!F:F)</f>
        <v>0</v>
      </c>
      <c r="I83">
        <f>_xlfn.XLOOKUP(C83,EventTypes!$A:$A,EventTypes!G:G)</f>
        <v>0</v>
      </c>
    </row>
    <row r="84" spans="4:9" x14ac:dyDescent="0.35">
      <c r="D84">
        <f>_xlfn.XLOOKUP(C84,EventTypes!$A:$A,EventTypes!B:B)</f>
        <v>0</v>
      </c>
      <c r="E84">
        <f>_xlfn.XLOOKUP(C84,EventTypes!$A:$A,EventTypes!D:D)</f>
        <v>0</v>
      </c>
      <c r="F84">
        <f>_xlfn.XLOOKUP(C84,EventTypes!$A:$A,EventTypes!C:C)</f>
        <v>0</v>
      </c>
      <c r="G84">
        <f>_xlfn.XLOOKUP(C84,EventTypes!$A:$A,EventTypes!E:E)</f>
        <v>0</v>
      </c>
      <c r="H84">
        <f>_xlfn.XLOOKUP(C84,EventTypes!$A:$A,EventTypes!F:F)</f>
        <v>0</v>
      </c>
      <c r="I84">
        <f>_xlfn.XLOOKUP(C84,EventTypes!$A:$A,EventTypes!G:G)</f>
        <v>0</v>
      </c>
    </row>
    <row r="85" spans="4:9" x14ac:dyDescent="0.35">
      <c r="D85">
        <f>_xlfn.XLOOKUP(C85,EventTypes!$A:$A,EventTypes!B:B)</f>
        <v>0</v>
      </c>
      <c r="E85">
        <f>_xlfn.XLOOKUP(C85,EventTypes!$A:$A,EventTypes!D:D)</f>
        <v>0</v>
      </c>
      <c r="F85">
        <f>_xlfn.XLOOKUP(C85,EventTypes!$A:$A,EventTypes!C:C)</f>
        <v>0</v>
      </c>
      <c r="G85">
        <f>_xlfn.XLOOKUP(C85,EventTypes!$A:$A,EventTypes!E:E)</f>
        <v>0</v>
      </c>
      <c r="H85">
        <f>_xlfn.XLOOKUP(C85,EventTypes!$A:$A,EventTypes!F:F)</f>
        <v>0</v>
      </c>
      <c r="I85">
        <f>_xlfn.XLOOKUP(C85,EventTypes!$A:$A,EventTypes!G:G)</f>
        <v>0</v>
      </c>
    </row>
    <row r="86" spans="4:9" x14ac:dyDescent="0.35">
      <c r="D86">
        <f>_xlfn.XLOOKUP(C86,EventTypes!$A:$A,EventTypes!B:B)</f>
        <v>0</v>
      </c>
      <c r="E86">
        <f>_xlfn.XLOOKUP(C86,EventTypes!$A:$A,EventTypes!D:D)</f>
        <v>0</v>
      </c>
      <c r="F86">
        <f>_xlfn.XLOOKUP(C86,EventTypes!$A:$A,EventTypes!C:C)</f>
        <v>0</v>
      </c>
      <c r="G86">
        <f>_xlfn.XLOOKUP(C86,EventTypes!$A:$A,EventTypes!E:E)</f>
        <v>0</v>
      </c>
      <c r="H86">
        <f>_xlfn.XLOOKUP(C86,EventTypes!$A:$A,EventTypes!F:F)</f>
        <v>0</v>
      </c>
      <c r="I86">
        <f>_xlfn.XLOOKUP(C86,EventTypes!$A:$A,EventTypes!G:G)</f>
        <v>0</v>
      </c>
    </row>
    <row r="87" spans="4:9" x14ac:dyDescent="0.35">
      <c r="D87">
        <f>_xlfn.XLOOKUP(C87,EventTypes!$A:$A,EventTypes!B:B)</f>
        <v>0</v>
      </c>
      <c r="E87">
        <f>_xlfn.XLOOKUP(C87,EventTypes!$A:$A,EventTypes!D:D)</f>
        <v>0</v>
      </c>
      <c r="F87">
        <f>_xlfn.XLOOKUP(C87,EventTypes!$A:$A,EventTypes!C:C)</f>
        <v>0</v>
      </c>
      <c r="G87">
        <f>_xlfn.XLOOKUP(C87,EventTypes!$A:$A,EventTypes!E:E)</f>
        <v>0</v>
      </c>
      <c r="H87">
        <f>_xlfn.XLOOKUP(C87,EventTypes!$A:$A,EventTypes!F:F)</f>
        <v>0</v>
      </c>
      <c r="I87">
        <f>_xlfn.XLOOKUP(C87,EventTypes!$A:$A,EventTypes!G:G)</f>
        <v>0</v>
      </c>
    </row>
    <row r="88" spans="4:9" x14ac:dyDescent="0.35">
      <c r="D88">
        <f>_xlfn.XLOOKUP(C88,EventTypes!$A:$A,EventTypes!B:B)</f>
        <v>0</v>
      </c>
      <c r="E88">
        <f>_xlfn.XLOOKUP(C88,EventTypes!$A:$A,EventTypes!D:D)</f>
        <v>0</v>
      </c>
      <c r="F88">
        <f>_xlfn.XLOOKUP(C88,EventTypes!$A:$A,EventTypes!C:C)</f>
        <v>0</v>
      </c>
      <c r="G88">
        <f>_xlfn.XLOOKUP(C88,EventTypes!$A:$A,EventTypes!E:E)</f>
        <v>0</v>
      </c>
      <c r="H88">
        <f>_xlfn.XLOOKUP(C88,EventTypes!$A:$A,EventTypes!F:F)</f>
        <v>0</v>
      </c>
      <c r="I88">
        <f>_xlfn.XLOOKUP(C88,EventTypes!$A:$A,EventTypes!G:G)</f>
        <v>0</v>
      </c>
    </row>
    <row r="89" spans="4:9" x14ac:dyDescent="0.35">
      <c r="D89">
        <f>_xlfn.XLOOKUP(C89,EventTypes!$A:$A,EventTypes!B:B)</f>
        <v>0</v>
      </c>
      <c r="E89">
        <f>_xlfn.XLOOKUP(C89,EventTypes!$A:$A,EventTypes!D:D)</f>
        <v>0</v>
      </c>
      <c r="F89">
        <f>_xlfn.XLOOKUP(C89,EventTypes!$A:$A,EventTypes!C:C)</f>
        <v>0</v>
      </c>
      <c r="G89">
        <f>_xlfn.XLOOKUP(C89,EventTypes!$A:$A,EventTypes!E:E)</f>
        <v>0</v>
      </c>
      <c r="H89">
        <f>_xlfn.XLOOKUP(C89,EventTypes!$A:$A,EventTypes!F:F)</f>
        <v>0</v>
      </c>
      <c r="I89">
        <f>_xlfn.XLOOKUP(C89,EventTypes!$A:$A,EventTypes!G:G)</f>
        <v>0</v>
      </c>
    </row>
    <row r="90" spans="4:9" x14ac:dyDescent="0.35">
      <c r="D90">
        <f>_xlfn.XLOOKUP(C90,EventTypes!$A:$A,EventTypes!B:B)</f>
        <v>0</v>
      </c>
      <c r="E90">
        <f>_xlfn.XLOOKUP(C90,EventTypes!$A:$A,EventTypes!D:D)</f>
        <v>0</v>
      </c>
      <c r="F90">
        <f>_xlfn.XLOOKUP(C90,EventTypes!$A:$A,EventTypes!C:C)</f>
        <v>0</v>
      </c>
      <c r="G90">
        <f>_xlfn.XLOOKUP(C90,EventTypes!$A:$A,EventTypes!E:E)</f>
        <v>0</v>
      </c>
      <c r="H90">
        <f>_xlfn.XLOOKUP(C90,EventTypes!$A:$A,EventTypes!F:F)</f>
        <v>0</v>
      </c>
      <c r="I90">
        <f>_xlfn.XLOOKUP(C90,EventTypes!$A:$A,EventTypes!G:G)</f>
        <v>0</v>
      </c>
    </row>
    <row r="91" spans="4:9" x14ac:dyDescent="0.35">
      <c r="D91">
        <f>_xlfn.XLOOKUP(C91,EventTypes!$A:$A,EventTypes!B:B)</f>
        <v>0</v>
      </c>
      <c r="E91">
        <f>_xlfn.XLOOKUP(C91,EventTypes!$A:$A,EventTypes!D:D)</f>
        <v>0</v>
      </c>
      <c r="F91">
        <f>_xlfn.XLOOKUP(C91,EventTypes!$A:$A,EventTypes!C:C)</f>
        <v>0</v>
      </c>
      <c r="G91">
        <f>_xlfn.XLOOKUP(C91,EventTypes!$A:$A,EventTypes!E:E)</f>
        <v>0</v>
      </c>
      <c r="H91">
        <f>_xlfn.XLOOKUP(C91,EventTypes!$A:$A,EventTypes!F:F)</f>
        <v>0</v>
      </c>
      <c r="I91">
        <f>_xlfn.XLOOKUP(C91,EventTypes!$A:$A,EventTypes!G:G)</f>
        <v>0</v>
      </c>
    </row>
    <row r="92" spans="4:9" x14ac:dyDescent="0.35">
      <c r="D92">
        <f>_xlfn.XLOOKUP(C92,EventTypes!$A:$A,EventTypes!B:B)</f>
        <v>0</v>
      </c>
      <c r="E92">
        <f>_xlfn.XLOOKUP(C92,EventTypes!$A:$A,EventTypes!D:D)</f>
        <v>0</v>
      </c>
      <c r="F92">
        <f>_xlfn.XLOOKUP(C92,EventTypes!$A:$A,EventTypes!C:C)</f>
        <v>0</v>
      </c>
      <c r="G92">
        <f>_xlfn.XLOOKUP(C92,EventTypes!$A:$A,EventTypes!E:E)</f>
        <v>0</v>
      </c>
      <c r="H92">
        <f>_xlfn.XLOOKUP(C92,EventTypes!$A:$A,EventTypes!F:F)</f>
        <v>0</v>
      </c>
      <c r="I92">
        <f>_xlfn.XLOOKUP(C92,EventTypes!$A:$A,EventTypes!G:G)</f>
        <v>0</v>
      </c>
    </row>
    <row r="93" spans="4:9" x14ac:dyDescent="0.35">
      <c r="D93">
        <f>_xlfn.XLOOKUP(C93,EventTypes!$A:$A,EventTypes!B:B)</f>
        <v>0</v>
      </c>
      <c r="E93">
        <f>_xlfn.XLOOKUP(C93,EventTypes!$A:$A,EventTypes!D:D)</f>
        <v>0</v>
      </c>
      <c r="F93">
        <f>_xlfn.XLOOKUP(C93,EventTypes!$A:$A,EventTypes!C:C)</f>
        <v>0</v>
      </c>
      <c r="G93">
        <f>_xlfn.XLOOKUP(C93,EventTypes!$A:$A,EventTypes!E:E)</f>
        <v>0</v>
      </c>
      <c r="H93">
        <f>_xlfn.XLOOKUP(C93,EventTypes!$A:$A,EventTypes!F:F)</f>
        <v>0</v>
      </c>
      <c r="I93">
        <f>_xlfn.XLOOKUP(C93,EventTypes!$A:$A,EventTypes!G:G)</f>
        <v>0</v>
      </c>
    </row>
    <row r="94" spans="4:9" x14ac:dyDescent="0.35">
      <c r="D94">
        <f>_xlfn.XLOOKUP(C94,EventTypes!$A:$A,EventTypes!B:B)</f>
        <v>0</v>
      </c>
      <c r="E94">
        <f>_xlfn.XLOOKUP(C94,EventTypes!$A:$A,EventTypes!D:D)</f>
        <v>0</v>
      </c>
      <c r="F94">
        <f>_xlfn.XLOOKUP(C94,EventTypes!$A:$A,EventTypes!C:C)</f>
        <v>0</v>
      </c>
      <c r="G94">
        <f>_xlfn.XLOOKUP(C94,EventTypes!$A:$A,EventTypes!E:E)</f>
        <v>0</v>
      </c>
      <c r="H94">
        <f>_xlfn.XLOOKUP(C94,EventTypes!$A:$A,EventTypes!F:F)</f>
        <v>0</v>
      </c>
      <c r="I94">
        <f>_xlfn.XLOOKUP(C94,EventTypes!$A:$A,EventTypes!G:G)</f>
        <v>0</v>
      </c>
    </row>
    <row r="95" spans="4:9" x14ac:dyDescent="0.35">
      <c r="D95">
        <f>_xlfn.XLOOKUP(C95,EventTypes!$A:$A,EventTypes!B:B)</f>
        <v>0</v>
      </c>
      <c r="E95">
        <f>_xlfn.XLOOKUP(C95,EventTypes!$A:$A,EventTypes!D:D)</f>
        <v>0</v>
      </c>
      <c r="F95">
        <f>_xlfn.XLOOKUP(C95,EventTypes!$A:$A,EventTypes!C:C)</f>
        <v>0</v>
      </c>
      <c r="G95">
        <f>_xlfn.XLOOKUP(C95,EventTypes!$A:$A,EventTypes!E:E)</f>
        <v>0</v>
      </c>
      <c r="H95">
        <f>_xlfn.XLOOKUP(C95,EventTypes!$A:$A,EventTypes!F:F)</f>
        <v>0</v>
      </c>
      <c r="I95">
        <f>_xlfn.XLOOKUP(C95,EventTypes!$A:$A,EventTypes!G:G)</f>
        <v>0</v>
      </c>
    </row>
    <row r="96" spans="4:9" x14ac:dyDescent="0.35">
      <c r="D96">
        <f>_xlfn.XLOOKUP(C96,EventTypes!$A:$A,EventTypes!B:B)</f>
        <v>0</v>
      </c>
      <c r="E96">
        <f>_xlfn.XLOOKUP(C96,EventTypes!$A:$A,EventTypes!D:D)</f>
        <v>0</v>
      </c>
      <c r="F96">
        <f>_xlfn.XLOOKUP(C96,EventTypes!$A:$A,EventTypes!C:C)</f>
        <v>0</v>
      </c>
      <c r="G96">
        <f>_xlfn.XLOOKUP(C96,EventTypes!$A:$A,EventTypes!E:E)</f>
        <v>0</v>
      </c>
      <c r="H96">
        <f>_xlfn.XLOOKUP(C96,EventTypes!$A:$A,EventTypes!F:F)</f>
        <v>0</v>
      </c>
      <c r="I96">
        <f>_xlfn.XLOOKUP(C96,EventTypes!$A:$A,EventTypes!G:G)</f>
        <v>0</v>
      </c>
    </row>
    <row r="97" spans="4:9" x14ac:dyDescent="0.35">
      <c r="D97">
        <f>_xlfn.XLOOKUP(C97,EventTypes!$A:$A,EventTypes!B:B)</f>
        <v>0</v>
      </c>
      <c r="E97">
        <f>_xlfn.XLOOKUP(C97,EventTypes!$A:$A,EventTypes!D:D)</f>
        <v>0</v>
      </c>
      <c r="F97">
        <f>_xlfn.XLOOKUP(C97,EventTypes!$A:$A,EventTypes!C:C)</f>
        <v>0</v>
      </c>
      <c r="G97">
        <f>_xlfn.XLOOKUP(C97,EventTypes!$A:$A,EventTypes!E:E)</f>
        <v>0</v>
      </c>
      <c r="H97">
        <f>_xlfn.XLOOKUP(C97,EventTypes!$A:$A,EventTypes!F:F)</f>
        <v>0</v>
      </c>
      <c r="I97">
        <f>_xlfn.XLOOKUP(C97,EventTypes!$A:$A,EventTypes!G:G)</f>
        <v>0</v>
      </c>
    </row>
    <row r="98" spans="4:9" x14ac:dyDescent="0.35">
      <c r="D98">
        <f>_xlfn.XLOOKUP(C98,EventTypes!$A:$A,EventTypes!B:B)</f>
        <v>0</v>
      </c>
      <c r="E98">
        <f>_xlfn.XLOOKUP(C98,EventTypes!$A:$A,EventTypes!D:D)</f>
        <v>0</v>
      </c>
      <c r="F98">
        <f>_xlfn.XLOOKUP(C98,EventTypes!$A:$A,EventTypes!C:C)</f>
        <v>0</v>
      </c>
      <c r="G98">
        <f>_xlfn.XLOOKUP(C98,EventTypes!$A:$A,EventTypes!E:E)</f>
        <v>0</v>
      </c>
      <c r="H98">
        <f>_xlfn.XLOOKUP(C98,EventTypes!$A:$A,EventTypes!F:F)</f>
        <v>0</v>
      </c>
      <c r="I98">
        <f>_xlfn.XLOOKUP(C98,EventTypes!$A:$A,EventTypes!G:G)</f>
        <v>0</v>
      </c>
    </row>
    <row r="99" spans="4:9" x14ac:dyDescent="0.35">
      <c r="D99">
        <f>_xlfn.XLOOKUP(C99,EventTypes!$A:$A,EventTypes!B:B)</f>
        <v>0</v>
      </c>
      <c r="E99">
        <f>_xlfn.XLOOKUP(C99,EventTypes!$A:$A,EventTypes!D:D)</f>
        <v>0</v>
      </c>
      <c r="F99">
        <f>_xlfn.XLOOKUP(C99,EventTypes!$A:$A,EventTypes!C:C)</f>
        <v>0</v>
      </c>
      <c r="G99">
        <f>_xlfn.XLOOKUP(C99,EventTypes!$A:$A,EventTypes!E:E)</f>
        <v>0</v>
      </c>
      <c r="H99">
        <f>_xlfn.XLOOKUP(C99,EventTypes!$A:$A,EventTypes!F:F)</f>
        <v>0</v>
      </c>
      <c r="I99">
        <f>_xlfn.XLOOKUP(C99,EventTypes!$A:$A,EventTypes!G:G)</f>
        <v>0</v>
      </c>
    </row>
    <row r="100" spans="4:9" x14ac:dyDescent="0.35">
      <c r="D100">
        <f>_xlfn.XLOOKUP(C100,EventTypes!$A:$A,EventTypes!B:B)</f>
        <v>0</v>
      </c>
      <c r="E100">
        <f>_xlfn.XLOOKUP(C100,EventTypes!$A:$A,EventTypes!D:D)</f>
        <v>0</v>
      </c>
      <c r="F100">
        <f>_xlfn.XLOOKUP(C100,EventTypes!$A:$A,EventTypes!C:C)</f>
        <v>0</v>
      </c>
      <c r="G100">
        <f>_xlfn.XLOOKUP(C100,EventTypes!$A:$A,EventTypes!E:E)</f>
        <v>0</v>
      </c>
      <c r="H100">
        <f>_xlfn.XLOOKUP(C100,EventTypes!$A:$A,EventTypes!F:F)</f>
        <v>0</v>
      </c>
      <c r="I100">
        <f>_xlfn.XLOOKUP(C100,EventTypes!$A:$A,EventTypes!G:G)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28E0041-B91F-42DF-A4EA-CAAE5860F066}">
          <x14:formula1>
            <xm:f>EventTypes!$A$2:$A$17</xm:f>
          </x14:formula1>
          <xm:sqref>C2:C100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7962-E1C3-4454-B671-E05683B75313}">
  <dimension ref="A1:C42"/>
  <sheetViews>
    <sheetView zoomScale="75" workbookViewId="0">
      <selection activeCell="B3" sqref="B3"/>
    </sheetView>
  </sheetViews>
  <sheetFormatPr defaultColWidth="8.81640625" defaultRowHeight="14.5" x14ac:dyDescent="0.35"/>
  <cols>
    <col min="1" max="1" width="11.81640625" bestFit="1" customWidth="1"/>
    <col min="2" max="2" width="14" bestFit="1" customWidth="1"/>
    <col min="3" max="3" width="7.08984375" bestFit="1" customWidth="1"/>
  </cols>
  <sheetData>
    <row r="1" spans="1:3" x14ac:dyDescent="0.35">
      <c r="A1" s="1" t="s">
        <v>28</v>
      </c>
      <c r="B1" s="1" t="s">
        <v>29</v>
      </c>
      <c r="C1" s="1" t="s">
        <v>27</v>
      </c>
    </row>
    <row r="2" spans="1:3" x14ac:dyDescent="0.35">
      <c r="A2">
        <v>1</v>
      </c>
      <c r="B2" t="s">
        <v>80</v>
      </c>
      <c r="C2">
        <v>2</v>
      </c>
    </row>
    <row r="3" spans="1:3" x14ac:dyDescent="0.35">
      <c r="A3">
        <v>2</v>
      </c>
      <c r="B3" t="s">
        <v>87</v>
      </c>
      <c r="C3">
        <v>2</v>
      </c>
    </row>
    <row r="4" spans="1:3" x14ac:dyDescent="0.35">
      <c r="A4">
        <v>3</v>
      </c>
      <c r="B4" t="s">
        <v>47</v>
      </c>
      <c r="C4">
        <v>2</v>
      </c>
    </row>
    <row r="5" spans="1:3" x14ac:dyDescent="0.35">
      <c r="A5">
        <v>4</v>
      </c>
      <c r="B5" t="s">
        <v>48</v>
      </c>
      <c r="C5">
        <v>2</v>
      </c>
    </row>
    <row r="6" spans="1:3" x14ac:dyDescent="0.35">
      <c r="A6">
        <v>5</v>
      </c>
      <c r="B6" t="s">
        <v>49</v>
      </c>
      <c r="C6">
        <v>2</v>
      </c>
    </row>
    <row r="7" spans="1:3" x14ac:dyDescent="0.35">
      <c r="A7">
        <v>6</v>
      </c>
      <c r="B7" t="s">
        <v>81</v>
      </c>
      <c r="C7">
        <v>2</v>
      </c>
    </row>
    <row r="8" spans="1:3" x14ac:dyDescent="0.35">
      <c r="A8">
        <v>7</v>
      </c>
      <c r="B8" t="s">
        <v>82</v>
      </c>
      <c r="C8">
        <v>2</v>
      </c>
    </row>
    <row r="9" spans="1:3" x14ac:dyDescent="0.35">
      <c r="A9">
        <v>8</v>
      </c>
      <c r="B9" t="s">
        <v>50</v>
      </c>
      <c r="C9">
        <v>2</v>
      </c>
    </row>
    <row r="10" spans="1:3" x14ac:dyDescent="0.35">
      <c r="A10">
        <v>9</v>
      </c>
      <c r="B10" t="s">
        <v>51</v>
      </c>
      <c r="C10">
        <v>2</v>
      </c>
    </row>
    <row r="11" spans="1:3" x14ac:dyDescent="0.35">
      <c r="A11">
        <v>10</v>
      </c>
      <c r="B11" t="s">
        <v>52</v>
      </c>
      <c r="C11">
        <v>2</v>
      </c>
    </row>
    <row r="12" spans="1:3" x14ac:dyDescent="0.35">
      <c r="A12">
        <v>11</v>
      </c>
      <c r="B12" t="s">
        <v>53</v>
      </c>
      <c r="C12">
        <v>2</v>
      </c>
    </row>
    <row r="13" spans="1:3" x14ac:dyDescent="0.35">
      <c r="A13">
        <v>12</v>
      </c>
      <c r="B13" t="s">
        <v>54</v>
      </c>
      <c r="C13">
        <v>2</v>
      </c>
    </row>
    <row r="14" spans="1:3" x14ac:dyDescent="0.35">
      <c r="A14">
        <v>13</v>
      </c>
      <c r="B14" t="s">
        <v>55</v>
      </c>
      <c r="C14">
        <v>2</v>
      </c>
    </row>
    <row r="15" spans="1:3" x14ac:dyDescent="0.35">
      <c r="A15">
        <v>14</v>
      </c>
      <c r="B15" t="s">
        <v>56</v>
      </c>
      <c r="C15">
        <v>2</v>
      </c>
    </row>
    <row r="16" spans="1:3" x14ac:dyDescent="0.35">
      <c r="A16">
        <v>15</v>
      </c>
      <c r="B16" t="s">
        <v>57</v>
      </c>
      <c r="C16">
        <v>2</v>
      </c>
    </row>
    <row r="17" spans="1:3" x14ac:dyDescent="0.35">
      <c r="A17">
        <v>16</v>
      </c>
      <c r="B17" t="s">
        <v>58</v>
      </c>
      <c r="C17">
        <v>2</v>
      </c>
    </row>
    <row r="18" spans="1:3" x14ac:dyDescent="0.35">
      <c r="A18">
        <v>17</v>
      </c>
      <c r="B18" t="s">
        <v>59</v>
      </c>
      <c r="C18">
        <v>2</v>
      </c>
    </row>
    <row r="19" spans="1:3" x14ac:dyDescent="0.35">
      <c r="A19">
        <v>18</v>
      </c>
      <c r="B19" t="s">
        <v>60</v>
      </c>
      <c r="C19">
        <v>2</v>
      </c>
    </row>
    <row r="20" spans="1:3" x14ac:dyDescent="0.35">
      <c r="A20">
        <v>19</v>
      </c>
      <c r="B20" t="s">
        <v>61</v>
      </c>
      <c r="C20">
        <v>2</v>
      </c>
    </row>
    <row r="21" spans="1:3" x14ac:dyDescent="0.35">
      <c r="A21">
        <v>20</v>
      </c>
      <c r="B21" t="s">
        <v>62</v>
      </c>
      <c r="C21">
        <v>2</v>
      </c>
    </row>
    <row r="22" spans="1:3" x14ac:dyDescent="0.35">
      <c r="A22">
        <v>21</v>
      </c>
      <c r="B22" t="s">
        <v>83</v>
      </c>
      <c r="C22">
        <v>2</v>
      </c>
    </row>
    <row r="23" spans="1:3" x14ac:dyDescent="0.35">
      <c r="A23">
        <v>22</v>
      </c>
      <c r="B23" t="s">
        <v>63</v>
      </c>
      <c r="C23">
        <v>2</v>
      </c>
    </row>
    <row r="24" spans="1:3" x14ac:dyDescent="0.35">
      <c r="A24">
        <v>23</v>
      </c>
      <c r="B24" t="s">
        <v>84</v>
      </c>
      <c r="C24">
        <v>2</v>
      </c>
    </row>
    <row r="25" spans="1:3" x14ac:dyDescent="0.35">
      <c r="A25">
        <v>24</v>
      </c>
      <c r="B25" t="s">
        <v>64</v>
      </c>
      <c r="C25">
        <v>2</v>
      </c>
    </row>
    <row r="26" spans="1:3" x14ac:dyDescent="0.35">
      <c r="A26">
        <v>25</v>
      </c>
      <c r="B26" t="s">
        <v>85</v>
      </c>
      <c r="C26">
        <v>2</v>
      </c>
    </row>
    <row r="27" spans="1:3" x14ac:dyDescent="0.35">
      <c r="A27">
        <v>26</v>
      </c>
      <c r="B27" t="s">
        <v>65</v>
      </c>
      <c r="C27">
        <v>2</v>
      </c>
    </row>
    <row r="28" spans="1:3" x14ac:dyDescent="0.35">
      <c r="A28">
        <v>27</v>
      </c>
      <c r="B28" t="s">
        <v>66</v>
      </c>
      <c r="C28">
        <v>2</v>
      </c>
    </row>
    <row r="29" spans="1:3" x14ac:dyDescent="0.35">
      <c r="A29">
        <v>28</v>
      </c>
      <c r="B29" t="s">
        <v>67</v>
      </c>
      <c r="C29">
        <v>2</v>
      </c>
    </row>
    <row r="30" spans="1:3" x14ac:dyDescent="0.35">
      <c r="A30">
        <v>29</v>
      </c>
      <c r="B30" t="s">
        <v>68</v>
      </c>
      <c r="C30">
        <v>2</v>
      </c>
    </row>
    <row r="31" spans="1:3" x14ac:dyDescent="0.35">
      <c r="A31">
        <v>30</v>
      </c>
      <c r="B31" t="s">
        <v>69</v>
      </c>
      <c r="C31">
        <v>2</v>
      </c>
    </row>
    <row r="32" spans="1:3" x14ac:dyDescent="0.35">
      <c r="A32">
        <v>31</v>
      </c>
      <c r="B32" t="s">
        <v>70</v>
      </c>
      <c r="C32">
        <v>2</v>
      </c>
    </row>
    <row r="33" spans="1:3" x14ac:dyDescent="0.35">
      <c r="A33">
        <v>32</v>
      </c>
      <c r="B33" t="s">
        <v>71</v>
      </c>
      <c r="C33">
        <v>2</v>
      </c>
    </row>
    <row r="34" spans="1:3" x14ac:dyDescent="0.35">
      <c r="A34">
        <v>33</v>
      </c>
      <c r="B34" t="s">
        <v>72</v>
      </c>
      <c r="C34">
        <v>2</v>
      </c>
    </row>
    <row r="35" spans="1:3" x14ac:dyDescent="0.35">
      <c r="A35">
        <v>34</v>
      </c>
      <c r="B35" t="s">
        <v>86</v>
      </c>
      <c r="C35">
        <v>2</v>
      </c>
    </row>
    <row r="36" spans="1:3" x14ac:dyDescent="0.35">
      <c r="A36">
        <v>35</v>
      </c>
      <c r="B36" t="s">
        <v>73</v>
      </c>
      <c r="C36">
        <v>2</v>
      </c>
    </row>
    <row r="37" spans="1:3" x14ac:dyDescent="0.35">
      <c r="A37">
        <v>36</v>
      </c>
      <c r="B37" t="s">
        <v>74</v>
      </c>
      <c r="C37">
        <v>2</v>
      </c>
    </row>
    <row r="38" spans="1:3" x14ac:dyDescent="0.35">
      <c r="A38">
        <v>37</v>
      </c>
      <c r="B38" t="s">
        <v>75</v>
      </c>
      <c r="C38">
        <v>2</v>
      </c>
    </row>
    <row r="39" spans="1:3" x14ac:dyDescent="0.35">
      <c r="A39">
        <v>38</v>
      </c>
      <c r="B39" t="s">
        <v>76</v>
      </c>
      <c r="C39">
        <v>1</v>
      </c>
    </row>
    <row r="40" spans="1:3" x14ac:dyDescent="0.35">
      <c r="A40">
        <v>39</v>
      </c>
      <c r="B40" t="s">
        <v>77</v>
      </c>
      <c r="C40">
        <v>1</v>
      </c>
    </row>
    <row r="41" spans="1:3" x14ac:dyDescent="0.35">
      <c r="A41">
        <v>40</v>
      </c>
      <c r="B41" t="s">
        <v>78</v>
      </c>
      <c r="C41">
        <v>1</v>
      </c>
    </row>
    <row r="42" spans="1:3" x14ac:dyDescent="0.35">
      <c r="A42">
        <v>41</v>
      </c>
      <c r="B42" t="s">
        <v>79</v>
      </c>
      <c r="C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21B-584F-4957-BCD6-8FFB7A80A030}">
  <dimension ref="A1:AF42"/>
  <sheetViews>
    <sheetView zoomScale="55" workbookViewId="0">
      <selection activeCell="A28" sqref="A28"/>
    </sheetView>
  </sheetViews>
  <sheetFormatPr defaultColWidth="8.81640625" defaultRowHeight="14.5" x14ac:dyDescent="0.35"/>
  <cols>
    <col min="1" max="1" width="14.6328125" bestFit="1" customWidth="1"/>
    <col min="2" max="2" width="14.453125" bestFit="1" customWidth="1"/>
    <col min="3" max="10" width="15" bestFit="1" customWidth="1"/>
    <col min="11" max="11" width="14.453125" bestFit="1" customWidth="1"/>
    <col min="12" max="12" width="14.08984375" bestFit="1" customWidth="1"/>
    <col min="13" max="20" width="14.453125" bestFit="1" customWidth="1"/>
    <col min="21" max="21" width="15" bestFit="1" customWidth="1"/>
    <col min="22" max="22" width="14.453125" bestFit="1" customWidth="1"/>
    <col min="23" max="31" width="15" bestFit="1" customWidth="1"/>
    <col min="32" max="32" width="14.453125" bestFit="1" customWidth="1"/>
  </cols>
  <sheetData>
    <row r="1" spans="1:32" x14ac:dyDescent="0.35">
      <c r="A1" s="1" t="s">
        <v>28</v>
      </c>
      <c r="B1" s="2">
        <v>46174</v>
      </c>
      <c r="C1" s="2">
        <v>46175</v>
      </c>
      <c r="D1" s="2">
        <v>46176</v>
      </c>
      <c r="E1" s="2">
        <v>46177</v>
      </c>
      <c r="F1" s="2">
        <v>46178</v>
      </c>
      <c r="G1" s="2">
        <v>46179</v>
      </c>
      <c r="H1" s="2">
        <v>46180</v>
      </c>
      <c r="I1" s="2">
        <v>46181</v>
      </c>
      <c r="J1" s="2">
        <v>46182</v>
      </c>
      <c r="K1" s="2">
        <v>46183</v>
      </c>
      <c r="L1" s="2">
        <v>46184</v>
      </c>
      <c r="M1" s="2">
        <v>46185</v>
      </c>
      <c r="N1" s="2">
        <v>46186</v>
      </c>
      <c r="O1" s="2">
        <v>46187</v>
      </c>
      <c r="P1" s="2">
        <v>46188</v>
      </c>
      <c r="Q1" s="2">
        <v>46189</v>
      </c>
      <c r="R1" s="2">
        <v>46190</v>
      </c>
      <c r="S1" s="2">
        <v>46191</v>
      </c>
      <c r="T1" s="2">
        <v>46192</v>
      </c>
      <c r="U1" s="2">
        <v>46193</v>
      </c>
      <c r="V1" s="2">
        <v>46194</v>
      </c>
      <c r="W1" s="2">
        <v>46195</v>
      </c>
      <c r="X1" s="2">
        <v>46196</v>
      </c>
      <c r="Y1" s="2">
        <v>46197</v>
      </c>
      <c r="Z1" s="2">
        <v>46198</v>
      </c>
      <c r="AA1" s="2">
        <v>46199</v>
      </c>
      <c r="AB1" s="2">
        <v>46200</v>
      </c>
      <c r="AC1" s="2">
        <v>46201</v>
      </c>
      <c r="AD1" s="2">
        <v>46202</v>
      </c>
      <c r="AE1" s="2">
        <v>46203</v>
      </c>
      <c r="AF1" s="2"/>
    </row>
    <row r="2" spans="1:32" x14ac:dyDescent="0.35">
      <c r="A2">
        <f>Employees!A2</f>
        <v>1</v>
      </c>
    </row>
    <row r="3" spans="1:32" x14ac:dyDescent="0.35">
      <c r="A3">
        <f>Employees!A3</f>
        <v>2</v>
      </c>
    </row>
    <row r="4" spans="1:32" x14ac:dyDescent="0.35">
      <c r="A4">
        <f>Employees!A4</f>
        <v>3</v>
      </c>
    </row>
    <row r="5" spans="1:32" x14ac:dyDescent="0.35">
      <c r="A5">
        <f>Employees!A5</f>
        <v>4</v>
      </c>
    </row>
    <row r="6" spans="1:32" x14ac:dyDescent="0.35">
      <c r="A6">
        <f>Employees!A6</f>
        <v>5</v>
      </c>
    </row>
    <row r="7" spans="1:32" x14ac:dyDescent="0.35">
      <c r="A7">
        <f>Employees!A7</f>
        <v>6</v>
      </c>
    </row>
    <row r="8" spans="1:32" x14ac:dyDescent="0.35">
      <c r="A8">
        <f>Employees!A8</f>
        <v>7</v>
      </c>
    </row>
    <row r="9" spans="1:32" x14ac:dyDescent="0.35">
      <c r="A9">
        <f>Employees!A9</f>
        <v>8</v>
      </c>
    </row>
    <row r="10" spans="1:32" x14ac:dyDescent="0.35">
      <c r="A10">
        <f>Employees!A10</f>
        <v>9</v>
      </c>
    </row>
    <row r="11" spans="1:32" x14ac:dyDescent="0.35">
      <c r="A11">
        <f>Employees!A11</f>
        <v>10</v>
      </c>
    </row>
    <row r="12" spans="1:32" x14ac:dyDescent="0.35">
      <c r="A12">
        <f>Employees!A12</f>
        <v>11</v>
      </c>
    </row>
    <row r="13" spans="1:32" x14ac:dyDescent="0.35">
      <c r="A13">
        <f>Employees!A13</f>
        <v>12</v>
      </c>
    </row>
    <row r="14" spans="1:32" x14ac:dyDescent="0.35">
      <c r="A14">
        <f>Employees!A14</f>
        <v>13</v>
      </c>
    </row>
    <row r="15" spans="1:32" x14ac:dyDescent="0.35">
      <c r="A15">
        <f>Employees!A15</f>
        <v>14</v>
      </c>
    </row>
    <row r="16" spans="1:32" x14ac:dyDescent="0.35">
      <c r="A16">
        <f>Employees!A16</f>
        <v>15</v>
      </c>
    </row>
    <row r="17" spans="1:1" x14ac:dyDescent="0.35">
      <c r="A17">
        <f>Employees!A17</f>
        <v>16</v>
      </c>
    </row>
    <row r="18" spans="1:1" x14ac:dyDescent="0.35">
      <c r="A18">
        <f>Employees!A18</f>
        <v>17</v>
      </c>
    </row>
    <row r="19" spans="1:1" x14ac:dyDescent="0.35">
      <c r="A19">
        <f>Employees!A19</f>
        <v>18</v>
      </c>
    </row>
    <row r="20" spans="1:1" x14ac:dyDescent="0.35">
      <c r="A20">
        <f>Employees!A20</f>
        <v>19</v>
      </c>
    </row>
    <row r="21" spans="1:1" x14ac:dyDescent="0.35">
      <c r="A21">
        <f>Employees!A21</f>
        <v>20</v>
      </c>
    </row>
    <row r="22" spans="1:1" x14ac:dyDescent="0.35">
      <c r="A22">
        <f>Employees!A22</f>
        <v>21</v>
      </c>
    </row>
    <row r="23" spans="1:1" x14ac:dyDescent="0.35">
      <c r="A23">
        <f>Employees!A23</f>
        <v>22</v>
      </c>
    </row>
    <row r="24" spans="1:1" x14ac:dyDescent="0.35">
      <c r="A24">
        <f>Employees!A24</f>
        <v>23</v>
      </c>
    </row>
    <row r="25" spans="1:1" x14ac:dyDescent="0.35">
      <c r="A25">
        <f>Employees!A25</f>
        <v>24</v>
      </c>
    </row>
    <row r="26" spans="1:1" x14ac:dyDescent="0.35">
      <c r="A26">
        <f>Employees!A26</f>
        <v>25</v>
      </c>
    </row>
    <row r="27" spans="1:1" x14ac:dyDescent="0.35">
      <c r="A27">
        <f>Employees!A27</f>
        <v>26</v>
      </c>
    </row>
    <row r="28" spans="1:1" x14ac:dyDescent="0.35">
      <c r="A28">
        <f>Employees!A28</f>
        <v>27</v>
      </c>
    </row>
    <row r="29" spans="1:1" x14ac:dyDescent="0.35">
      <c r="A29">
        <f>Employees!A29</f>
        <v>28</v>
      </c>
    </row>
    <row r="30" spans="1:1" x14ac:dyDescent="0.35">
      <c r="A30">
        <f>Employees!A30</f>
        <v>29</v>
      </c>
    </row>
    <row r="31" spans="1:1" x14ac:dyDescent="0.35">
      <c r="A31">
        <f>Employees!A31</f>
        <v>30</v>
      </c>
    </row>
    <row r="32" spans="1:1" x14ac:dyDescent="0.35">
      <c r="A32">
        <f>Employees!A32</f>
        <v>31</v>
      </c>
    </row>
    <row r="33" spans="1:1" x14ac:dyDescent="0.35">
      <c r="A33">
        <f>Employees!A33</f>
        <v>32</v>
      </c>
    </row>
    <row r="34" spans="1:1" x14ac:dyDescent="0.35">
      <c r="A34">
        <f>Employees!A34</f>
        <v>33</v>
      </c>
    </row>
    <row r="35" spans="1:1" x14ac:dyDescent="0.35">
      <c r="A35">
        <f>Employees!A35</f>
        <v>34</v>
      </c>
    </row>
    <row r="36" spans="1:1" x14ac:dyDescent="0.35">
      <c r="A36">
        <f>Employees!A36</f>
        <v>35</v>
      </c>
    </row>
    <row r="37" spans="1:1" x14ac:dyDescent="0.35">
      <c r="A37">
        <f>Employees!A37</f>
        <v>36</v>
      </c>
    </row>
    <row r="38" spans="1:1" x14ac:dyDescent="0.35">
      <c r="A38">
        <f>Employees!A38</f>
        <v>37</v>
      </c>
    </row>
    <row r="39" spans="1:1" x14ac:dyDescent="0.35">
      <c r="A39">
        <f>Employees!A39</f>
        <v>38</v>
      </c>
    </row>
    <row r="40" spans="1:1" x14ac:dyDescent="0.35">
      <c r="A40">
        <f>Employees!A40</f>
        <v>39</v>
      </c>
    </row>
    <row r="41" spans="1:1" x14ac:dyDescent="0.35">
      <c r="A41">
        <f>Employees!A41</f>
        <v>40</v>
      </c>
    </row>
    <row r="42" spans="1:1" x14ac:dyDescent="0.35">
      <c r="A42">
        <f>Employees!A42</f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9287-6D87-488B-B523-72276289E9B7}">
  <dimension ref="A1:AQ60"/>
  <sheetViews>
    <sheetView zoomScale="86" workbookViewId="0">
      <selection activeCell="C1" sqref="C1"/>
    </sheetView>
  </sheetViews>
  <sheetFormatPr defaultColWidth="8.81640625" defaultRowHeight="14.5" x14ac:dyDescent="0.35"/>
  <cols>
    <col min="1" max="1" width="12.08984375" bestFit="1" customWidth="1"/>
    <col min="2" max="2" width="11.08984375" bestFit="1" customWidth="1"/>
    <col min="3" max="3" width="10.54296875" bestFit="1" customWidth="1"/>
    <col min="4" max="4" width="4.81640625" bestFit="1" customWidth="1"/>
    <col min="5" max="5" width="11" bestFit="1" customWidth="1"/>
    <col min="6" max="6" width="9.90625" bestFit="1" customWidth="1"/>
    <col min="7" max="7" width="6.1796875" bestFit="1" customWidth="1"/>
    <col min="8" max="8" width="6.54296875" bestFit="1" customWidth="1"/>
    <col min="9" max="9" width="6.36328125" bestFit="1" customWidth="1"/>
    <col min="10" max="10" width="8.08984375" bestFit="1" customWidth="1"/>
    <col min="11" max="11" width="6.1796875" bestFit="1" customWidth="1"/>
    <col min="12" max="12" width="5" bestFit="1" customWidth="1"/>
    <col min="13" max="13" width="7.36328125" bestFit="1" customWidth="1"/>
    <col min="14" max="14" width="5.6328125" bestFit="1" customWidth="1"/>
    <col min="15" max="15" width="7" bestFit="1" customWidth="1"/>
    <col min="16" max="16" width="10.36328125" bestFit="1" customWidth="1"/>
    <col min="17" max="17" width="8.6328125" bestFit="1" customWidth="1"/>
    <col min="18" max="18" width="8" bestFit="1" customWidth="1"/>
    <col min="19" max="19" width="7.08984375" bestFit="1" customWidth="1"/>
    <col min="20" max="20" width="9.1796875" bestFit="1" customWidth="1"/>
    <col min="21" max="21" width="9.36328125" bestFit="1" customWidth="1"/>
    <col min="22" max="22" width="6.81640625" bestFit="1" customWidth="1"/>
    <col min="23" max="23" width="7.453125" bestFit="1" customWidth="1"/>
    <col min="24" max="24" width="8.08984375" bestFit="1" customWidth="1"/>
    <col min="25" max="25" width="11.36328125" bestFit="1" customWidth="1"/>
    <col min="26" max="26" width="4.1796875" bestFit="1" customWidth="1"/>
    <col min="27" max="27" width="4.81640625" bestFit="1" customWidth="1"/>
    <col min="28" max="28" width="4.08984375" bestFit="1" customWidth="1"/>
    <col min="29" max="29" width="6.36328125" bestFit="1" customWidth="1"/>
    <col min="30" max="30" width="9.36328125" bestFit="1" customWidth="1"/>
    <col min="31" max="31" width="6.6328125" bestFit="1" customWidth="1"/>
    <col min="32" max="32" width="7.81640625" bestFit="1" customWidth="1"/>
    <col min="33" max="33" width="6.54296875" bestFit="1" customWidth="1"/>
    <col min="34" max="34" width="10.54296875" bestFit="1" customWidth="1"/>
    <col min="35" max="35" width="6.54296875" bestFit="1" customWidth="1"/>
    <col min="36" max="36" width="4.81640625" bestFit="1" customWidth="1"/>
    <col min="37" max="37" width="6" bestFit="1" customWidth="1"/>
    <col min="38" max="38" width="6.36328125" bestFit="1" customWidth="1"/>
    <col min="39" max="39" width="6.1796875" bestFit="1" customWidth="1"/>
    <col min="40" max="40" width="5.81640625" bestFit="1" customWidth="1"/>
    <col min="41" max="41" width="6.90625" bestFit="1" customWidth="1"/>
    <col min="42" max="42" width="4.6328125" bestFit="1" customWidth="1"/>
    <col min="43" max="43" width="6" bestFit="1" customWidth="1"/>
  </cols>
  <sheetData>
    <row r="1" spans="1:43" s="1" customFormat="1" x14ac:dyDescent="0.35">
      <c r="A1" s="1" t="str">
        <f>Events!B1</f>
        <v>Event</v>
      </c>
      <c r="B1" s="1" t="str">
        <f>Events!J1</f>
        <v>Date</v>
      </c>
      <c r="C1" s="1" t="str">
        <f>Employees!B2</f>
        <v>Agnes Anna</v>
      </c>
      <c r="D1" s="1" t="str">
        <f>Employees!B3</f>
        <v>Alda</v>
      </c>
      <c r="E1" s="1" t="str">
        <f>Employees!B4</f>
        <v xml:space="preserve">Anna Soffía </v>
      </c>
      <c r="F1" s="1" t="str">
        <f>Employees!B5</f>
        <v>Arnar Ragn</v>
      </c>
      <c r="G1" s="1" t="str">
        <f>Employees!B6</f>
        <v xml:space="preserve">Auður </v>
      </c>
      <c r="H1" s="1" t="str">
        <f>Employees!B7</f>
        <v>Ágústa</v>
      </c>
      <c r="I1" s="1" t="str">
        <f>Employees!B8</f>
        <v>Daníel</v>
      </c>
      <c r="J1" s="1" t="str">
        <f>Employees!B9</f>
        <v xml:space="preserve">Elísabet </v>
      </c>
      <c r="K1" s="1" t="str">
        <f>Employees!B10</f>
        <v xml:space="preserve">Elmar </v>
      </c>
      <c r="L1" s="1" t="str">
        <f>Employees!B11</f>
        <v xml:space="preserve">Erna </v>
      </c>
      <c r="M1" s="1" t="str">
        <f>Employees!B12</f>
        <v xml:space="preserve">Gaukur </v>
      </c>
      <c r="N1" s="1" t="str">
        <f>Employees!B13</f>
        <v>Gréta</v>
      </c>
      <c r="O1" s="1" t="str">
        <f>Employees!B14</f>
        <v xml:space="preserve">Guðný  </v>
      </c>
      <c r="P1" s="1" t="str">
        <f>Employees!B15</f>
        <v xml:space="preserve">Hólmfríður </v>
      </c>
      <c r="Q1" s="1" t="str">
        <f>Employees!B16</f>
        <v>Hrafnkell</v>
      </c>
      <c r="R1" s="1" t="str">
        <f>Employees!B17</f>
        <v xml:space="preserve">Hrannar </v>
      </c>
      <c r="S1" s="1" t="str">
        <f>Employees!B18</f>
        <v xml:space="preserve">Jórunn  </v>
      </c>
      <c r="T1" s="1" t="str">
        <f>Employees!B19</f>
        <v>Katrín Hel</v>
      </c>
      <c r="U1" s="1" t="str">
        <f>Employees!B20</f>
        <v xml:space="preserve">Katrín Sig </v>
      </c>
      <c r="V1" s="1" t="str">
        <f>Employees!B21</f>
        <v xml:space="preserve">Laufey </v>
      </c>
      <c r="W1" s="1" t="str">
        <f>Employees!B22</f>
        <v>Magnea</v>
      </c>
      <c r="X1" s="1" t="str">
        <f>Employees!B23</f>
        <v xml:space="preserve">Magnús  </v>
      </c>
      <c r="Y1" s="1" t="str">
        <f>Employees!B24</f>
        <v>Margrét Lára</v>
      </c>
      <c r="Z1" s="1" t="str">
        <f>Employees!B25</f>
        <v>Orri</v>
      </c>
      <c r="AA1" s="1" t="str">
        <f>Employees!B26</f>
        <v>Palli</v>
      </c>
      <c r="AB1" s="1" t="str">
        <f>Employees!B27</f>
        <v xml:space="preserve">Rut </v>
      </c>
      <c r="AC1" s="1" t="str">
        <f>Employees!B28</f>
        <v>Sara B</v>
      </c>
      <c r="AD1" s="1" t="str">
        <f>Employees!B29</f>
        <v xml:space="preserve">Sara Júlía </v>
      </c>
      <c r="AE1" s="1" t="str">
        <f>Employees!B30</f>
        <v xml:space="preserve">Selma </v>
      </c>
      <c r="AF1" s="1" t="str">
        <f>Employees!B31</f>
        <v xml:space="preserve">Sigríður </v>
      </c>
      <c r="AG1" s="1" t="str">
        <f>Employees!B32</f>
        <v>Sveinn</v>
      </c>
      <c r="AH1" s="1" t="str">
        <f>Employees!B33</f>
        <v xml:space="preserve">Sæmundur </v>
      </c>
      <c r="AI1" s="1" t="str">
        <f>Employees!B34</f>
        <v xml:space="preserve">Valdís </v>
      </c>
      <c r="AJ1" s="1" t="str">
        <f>Employees!B35</f>
        <v>Vero</v>
      </c>
      <c r="AK1" s="1" t="str">
        <f>Employees!B36</f>
        <v xml:space="preserve">Védís </v>
      </c>
      <c r="AL1" s="1" t="str">
        <f>Employees!B37</f>
        <v xml:space="preserve">Unnar </v>
      </c>
      <c r="AM1" s="1" t="str">
        <f>Employees!B38</f>
        <v>Ömmi</v>
      </c>
      <c r="AN1" s="1" t="str">
        <f>Employees!B39</f>
        <v xml:space="preserve">Arnar </v>
      </c>
      <c r="AO1" s="1" t="str">
        <f>Employees!B40</f>
        <v xml:space="preserve">Róbert </v>
      </c>
      <c r="AP1" s="1" t="str">
        <f>Employees!B41</f>
        <v xml:space="preserve">Jara </v>
      </c>
      <c r="AQ1" s="1" t="str">
        <f>Employees!B42</f>
        <v xml:space="preserve">Þórey </v>
      </c>
    </row>
    <row r="2" spans="1:43" x14ac:dyDescent="0.35">
      <c r="A2">
        <f>Events!B2</f>
        <v>0</v>
      </c>
      <c r="B2" s="4">
        <f>Events!J2</f>
        <v>0</v>
      </c>
    </row>
    <row r="3" spans="1:43" x14ac:dyDescent="0.35">
      <c r="A3">
        <f>Events!B3</f>
        <v>0</v>
      </c>
      <c r="B3" s="4">
        <f>Events!J3</f>
        <v>0</v>
      </c>
    </row>
    <row r="4" spans="1:43" x14ac:dyDescent="0.35">
      <c r="A4">
        <f>Events!B4</f>
        <v>0</v>
      </c>
      <c r="B4" s="4">
        <f>Events!J4</f>
        <v>0</v>
      </c>
    </row>
    <row r="5" spans="1:43" x14ac:dyDescent="0.35">
      <c r="A5">
        <f>Events!B5</f>
        <v>0</v>
      </c>
      <c r="B5" s="4">
        <f>Events!J5</f>
        <v>0</v>
      </c>
    </row>
    <row r="6" spans="1:43" x14ac:dyDescent="0.35">
      <c r="A6">
        <f>Events!B6</f>
        <v>0</v>
      </c>
      <c r="B6" s="4">
        <f>Events!J6</f>
        <v>0</v>
      </c>
    </row>
    <row r="7" spans="1:43" x14ac:dyDescent="0.35">
      <c r="A7">
        <f>Events!B7</f>
        <v>0</v>
      </c>
      <c r="B7" s="4">
        <f>Events!J7</f>
        <v>0</v>
      </c>
    </row>
    <row r="8" spans="1:43" x14ac:dyDescent="0.35">
      <c r="A8">
        <f>Events!B8</f>
        <v>0</v>
      </c>
      <c r="B8" s="4">
        <f>Events!J8</f>
        <v>0</v>
      </c>
    </row>
    <row r="9" spans="1:43" x14ac:dyDescent="0.35">
      <c r="A9">
        <f>Events!B9</f>
        <v>0</v>
      </c>
      <c r="B9" s="4">
        <f>Events!J9</f>
        <v>0</v>
      </c>
    </row>
    <row r="10" spans="1:43" x14ac:dyDescent="0.35">
      <c r="A10">
        <f>Events!B10</f>
        <v>0</v>
      </c>
      <c r="B10" s="4">
        <f>Events!J10</f>
        <v>0</v>
      </c>
    </row>
    <row r="11" spans="1:43" x14ac:dyDescent="0.35">
      <c r="A11">
        <f>Events!B11</f>
        <v>0</v>
      </c>
      <c r="B11" s="4">
        <f>Events!J11</f>
        <v>0</v>
      </c>
    </row>
    <row r="12" spans="1:43" x14ac:dyDescent="0.35">
      <c r="A12">
        <f>Events!B12</f>
        <v>0</v>
      </c>
      <c r="B12" s="4">
        <f>Events!J12</f>
        <v>0</v>
      </c>
    </row>
    <row r="13" spans="1:43" x14ac:dyDescent="0.35">
      <c r="A13">
        <f>Events!B13</f>
        <v>0</v>
      </c>
      <c r="B13" s="4">
        <f>Events!J13</f>
        <v>0</v>
      </c>
    </row>
    <row r="14" spans="1:43" x14ac:dyDescent="0.35">
      <c r="A14">
        <f>Events!B14</f>
        <v>0</v>
      </c>
      <c r="B14" s="4">
        <f>Events!J14</f>
        <v>0</v>
      </c>
    </row>
    <row r="15" spans="1:43" x14ac:dyDescent="0.35">
      <c r="A15">
        <f>Events!B15</f>
        <v>0</v>
      </c>
      <c r="B15" s="4">
        <f>Events!J15</f>
        <v>0</v>
      </c>
    </row>
    <row r="16" spans="1:43" x14ac:dyDescent="0.35">
      <c r="A16">
        <f>Events!B16</f>
        <v>0</v>
      </c>
      <c r="B16" s="4">
        <f>Events!J16</f>
        <v>0</v>
      </c>
    </row>
    <row r="17" spans="1:2" x14ac:dyDescent="0.35">
      <c r="A17">
        <f>Events!B17</f>
        <v>0</v>
      </c>
      <c r="B17" s="4">
        <f>Events!J17</f>
        <v>0</v>
      </c>
    </row>
    <row r="18" spans="1:2" x14ac:dyDescent="0.35">
      <c r="A18">
        <f>Events!B18</f>
        <v>0</v>
      </c>
      <c r="B18" s="4">
        <f>Events!J18</f>
        <v>0</v>
      </c>
    </row>
    <row r="19" spans="1:2" x14ac:dyDescent="0.35">
      <c r="A19">
        <f>Events!B19</f>
        <v>0</v>
      </c>
      <c r="B19" s="4">
        <f>Events!J19</f>
        <v>0</v>
      </c>
    </row>
    <row r="20" spans="1:2" x14ac:dyDescent="0.35">
      <c r="A20">
        <f>Events!B20</f>
        <v>0</v>
      </c>
      <c r="B20" s="4">
        <f>Events!J20</f>
        <v>0</v>
      </c>
    </row>
    <row r="21" spans="1:2" x14ac:dyDescent="0.35">
      <c r="A21">
        <f>Events!B21</f>
        <v>0</v>
      </c>
      <c r="B21" s="4">
        <f>Events!J21</f>
        <v>0</v>
      </c>
    </row>
    <row r="22" spans="1:2" x14ac:dyDescent="0.35">
      <c r="A22">
        <f>Events!B22</f>
        <v>0</v>
      </c>
      <c r="B22" s="4">
        <f>Events!J22</f>
        <v>0</v>
      </c>
    </row>
    <row r="23" spans="1:2" x14ac:dyDescent="0.35">
      <c r="A23">
        <f>Events!B23</f>
        <v>0</v>
      </c>
      <c r="B23" s="4">
        <f>Events!J23</f>
        <v>0</v>
      </c>
    </row>
    <row r="24" spans="1:2" x14ac:dyDescent="0.35">
      <c r="A24">
        <f>Events!B24</f>
        <v>0</v>
      </c>
      <c r="B24" s="4">
        <f>Events!J24</f>
        <v>0</v>
      </c>
    </row>
    <row r="25" spans="1:2" x14ac:dyDescent="0.35">
      <c r="A25">
        <f>Events!B25</f>
        <v>0</v>
      </c>
      <c r="B25" s="4">
        <f>Events!J25</f>
        <v>0</v>
      </c>
    </row>
    <row r="26" spans="1:2" x14ac:dyDescent="0.35">
      <c r="A26">
        <f>Events!B26</f>
        <v>0</v>
      </c>
      <c r="B26" s="4">
        <f>Events!J26</f>
        <v>0</v>
      </c>
    </row>
    <row r="27" spans="1:2" x14ac:dyDescent="0.35">
      <c r="A27">
        <f>Events!B27</f>
        <v>0</v>
      </c>
      <c r="B27" s="4">
        <f>Events!J27</f>
        <v>0</v>
      </c>
    </row>
    <row r="28" spans="1:2" x14ac:dyDescent="0.35">
      <c r="A28">
        <f>Events!B28</f>
        <v>0</v>
      </c>
      <c r="B28" s="4">
        <f>Events!J28</f>
        <v>0</v>
      </c>
    </row>
    <row r="29" spans="1:2" x14ac:dyDescent="0.35">
      <c r="A29">
        <f>Events!B29</f>
        <v>0</v>
      </c>
      <c r="B29" s="4">
        <f>Events!J29</f>
        <v>0</v>
      </c>
    </row>
    <row r="30" spans="1:2" x14ac:dyDescent="0.35">
      <c r="A30">
        <f>Events!B30</f>
        <v>0</v>
      </c>
      <c r="B30" s="4">
        <f>Events!J30</f>
        <v>0</v>
      </c>
    </row>
    <row r="31" spans="1:2" x14ac:dyDescent="0.35">
      <c r="A31">
        <f>Events!B31</f>
        <v>0</v>
      </c>
      <c r="B31" s="4">
        <f>Events!J31</f>
        <v>0</v>
      </c>
    </row>
    <row r="32" spans="1:2" x14ac:dyDescent="0.35">
      <c r="A32">
        <f>Events!B32</f>
        <v>0</v>
      </c>
      <c r="B32" s="4">
        <f>Events!J32</f>
        <v>0</v>
      </c>
    </row>
    <row r="33" spans="1:2" x14ac:dyDescent="0.35">
      <c r="A33">
        <f>Events!B33</f>
        <v>0</v>
      </c>
      <c r="B33" s="4">
        <f>Events!J33</f>
        <v>0</v>
      </c>
    </row>
    <row r="34" spans="1:2" x14ac:dyDescent="0.35">
      <c r="A34">
        <f>Events!B34</f>
        <v>0</v>
      </c>
      <c r="B34" s="4">
        <f>Events!J34</f>
        <v>0</v>
      </c>
    </row>
    <row r="35" spans="1:2" x14ac:dyDescent="0.35">
      <c r="A35">
        <f>Events!B35</f>
        <v>0</v>
      </c>
      <c r="B35" s="4">
        <f>Events!J35</f>
        <v>0</v>
      </c>
    </row>
    <row r="36" spans="1:2" x14ac:dyDescent="0.35">
      <c r="A36">
        <f>Events!B36</f>
        <v>0</v>
      </c>
      <c r="B36" s="4">
        <f>Events!J36</f>
        <v>0</v>
      </c>
    </row>
    <row r="37" spans="1:2" x14ac:dyDescent="0.35">
      <c r="A37">
        <f>Events!B37</f>
        <v>0</v>
      </c>
      <c r="B37" s="4">
        <f>Events!J37</f>
        <v>0</v>
      </c>
    </row>
    <row r="38" spans="1:2" x14ac:dyDescent="0.35">
      <c r="A38">
        <f>Events!B38</f>
        <v>0</v>
      </c>
      <c r="B38" s="4">
        <f>Events!J38</f>
        <v>0</v>
      </c>
    </row>
    <row r="39" spans="1:2" x14ac:dyDescent="0.35">
      <c r="A39">
        <f>Events!B39</f>
        <v>0</v>
      </c>
      <c r="B39" s="4">
        <f>Events!J39</f>
        <v>0</v>
      </c>
    </row>
    <row r="40" spans="1:2" x14ac:dyDescent="0.35">
      <c r="A40">
        <f>Events!B40</f>
        <v>0</v>
      </c>
      <c r="B40" s="4">
        <f>Events!J40</f>
        <v>0</v>
      </c>
    </row>
    <row r="41" spans="1:2" x14ac:dyDescent="0.35">
      <c r="A41">
        <f>Events!B41</f>
        <v>0</v>
      </c>
      <c r="B41" s="4">
        <f>Events!J41</f>
        <v>0</v>
      </c>
    </row>
    <row r="42" spans="1:2" x14ac:dyDescent="0.35">
      <c r="A42">
        <f>Events!B42</f>
        <v>0</v>
      </c>
      <c r="B42" s="4">
        <f>Events!J42</f>
        <v>0</v>
      </c>
    </row>
    <row r="43" spans="1:2" x14ac:dyDescent="0.35">
      <c r="A43">
        <f>Events!B43</f>
        <v>0</v>
      </c>
      <c r="B43" s="4">
        <f>Events!J43</f>
        <v>0</v>
      </c>
    </row>
    <row r="44" spans="1:2" x14ac:dyDescent="0.35">
      <c r="A44">
        <f>Events!B44</f>
        <v>0</v>
      </c>
      <c r="B44" s="4">
        <f>Events!J44</f>
        <v>0</v>
      </c>
    </row>
    <row r="45" spans="1:2" x14ac:dyDescent="0.35">
      <c r="A45">
        <f>Events!B45</f>
        <v>0</v>
      </c>
      <c r="B45" s="4">
        <f>Events!J45</f>
        <v>0</v>
      </c>
    </row>
    <row r="46" spans="1:2" x14ac:dyDescent="0.35">
      <c r="A46">
        <f>Events!B46</f>
        <v>0</v>
      </c>
      <c r="B46" s="4">
        <f>Events!J46</f>
        <v>0</v>
      </c>
    </row>
    <row r="47" spans="1:2" x14ac:dyDescent="0.35">
      <c r="A47">
        <f>Events!B47</f>
        <v>0</v>
      </c>
      <c r="B47" s="4">
        <f>Events!J47</f>
        <v>0</v>
      </c>
    </row>
    <row r="48" spans="1:2" x14ac:dyDescent="0.35">
      <c r="A48">
        <f>Events!B48</f>
        <v>0</v>
      </c>
      <c r="B48" s="4">
        <f>Events!J48</f>
        <v>0</v>
      </c>
    </row>
    <row r="49" spans="1:2" x14ac:dyDescent="0.35">
      <c r="A49">
        <f>Events!B49</f>
        <v>0</v>
      </c>
      <c r="B49" s="4">
        <f>Events!J49</f>
        <v>0</v>
      </c>
    </row>
    <row r="50" spans="1:2" x14ac:dyDescent="0.35">
      <c r="A50">
        <f>Events!B50</f>
        <v>0</v>
      </c>
      <c r="B50" s="4">
        <f>Events!J50</f>
        <v>0</v>
      </c>
    </row>
    <row r="51" spans="1:2" x14ac:dyDescent="0.35">
      <c r="A51">
        <f>Events!B51</f>
        <v>0</v>
      </c>
      <c r="B51" s="4">
        <f>Events!J51</f>
        <v>0</v>
      </c>
    </row>
    <row r="52" spans="1:2" x14ac:dyDescent="0.35">
      <c r="A52">
        <f>Events!B52</f>
        <v>0</v>
      </c>
      <c r="B52" s="4">
        <f>Events!J52</f>
        <v>0</v>
      </c>
    </row>
    <row r="53" spans="1:2" x14ac:dyDescent="0.35">
      <c r="A53">
        <f>Events!B53</f>
        <v>0</v>
      </c>
      <c r="B53" s="4">
        <f>Events!J53</f>
        <v>0</v>
      </c>
    </row>
    <row r="54" spans="1:2" x14ac:dyDescent="0.35">
      <c r="A54">
        <f>Events!B54</f>
        <v>0</v>
      </c>
      <c r="B54" s="4">
        <f>Events!J54</f>
        <v>0</v>
      </c>
    </row>
    <row r="55" spans="1:2" x14ac:dyDescent="0.35">
      <c r="A55">
        <f>Events!B55</f>
        <v>0</v>
      </c>
      <c r="B55" s="4">
        <f>Events!J55</f>
        <v>0</v>
      </c>
    </row>
    <row r="56" spans="1:2" x14ac:dyDescent="0.35">
      <c r="A56">
        <f>Events!B56</f>
        <v>0</v>
      </c>
      <c r="B56" s="4">
        <f>Events!J56</f>
        <v>0</v>
      </c>
    </row>
    <row r="57" spans="1:2" x14ac:dyDescent="0.35">
      <c r="A57">
        <f>Events!B57</f>
        <v>0</v>
      </c>
      <c r="B57" s="4">
        <f>Events!J57</f>
        <v>0</v>
      </c>
    </row>
    <row r="58" spans="1:2" x14ac:dyDescent="0.35">
      <c r="A58">
        <f>Events!B58</f>
        <v>0</v>
      </c>
      <c r="B58" s="4">
        <f>Events!J58</f>
        <v>0</v>
      </c>
    </row>
    <row r="59" spans="1:2" x14ac:dyDescent="0.35">
      <c r="A59">
        <f>Events!B59</f>
        <v>0</v>
      </c>
      <c r="B59" s="4">
        <f>Events!J59</f>
        <v>0</v>
      </c>
    </row>
    <row r="60" spans="1:2" x14ac:dyDescent="0.35">
      <c r="A60">
        <f>Events!B60</f>
        <v>0</v>
      </c>
      <c r="B60" s="4">
        <f>Events!J60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287-5985-48C0-88D9-B8B2B82FB872}">
  <dimension ref="A1:G17"/>
  <sheetViews>
    <sheetView zoomScale="120" workbookViewId="0">
      <selection activeCell="E5" sqref="E5"/>
    </sheetView>
  </sheetViews>
  <sheetFormatPr defaultColWidth="8.81640625" defaultRowHeight="14.5" x14ac:dyDescent="0.35"/>
  <cols>
    <col min="1" max="1" width="11.81640625" customWidth="1"/>
    <col min="2" max="2" width="12.81640625" bestFit="1" customWidth="1"/>
    <col min="3" max="3" width="11.81640625" customWidth="1"/>
    <col min="4" max="4" width="12.08984375" bestFit="1" customWidth="1"/>
    <col min="5" max="6" width="8.453125" bestFit="1" customWidth="1"/>
    <col min="7" max="7" width="9.81640625" bestFit="1" customWidth="1"/>
  </cols>
  <sheetData>
    <row r="1" spans="1:7" x14ac:dyDescent="0.35">
      <c r="A1" s="1" t="s">
        <v>19</v>
      </c>
      <c r="B1" s="1" t="s">
        <v>30</v>
      </c>
      <c r="C1" s="1" t="s">
        <v>1</v>
      </c>
      <c r="D1" s="1" t="s">
        <v>26</v>
      </c>
      <c r="E1" s="1" t="s">
        <v>20</v>
      </c>
      <c r="F1" s="1" t="s">
        <v>21</v>
      </c>
      <c r="G1" s="1" t="s">
        <v>22</v>
      </c>
    </row>
    <row r="2" spans="1:7" x14ac:dyDescent="0.35">
      <c r="A2" t="s">
        <v>7</v>
      </c>
      <c r="B2" t="s">
        <v>31</v>
      </c>
      <c r="C2" t="s">
        <v>4</v>
      </c>
      <c r="D2">
        <v>80</v>
      </c>
      <c r="E2">
        <v>0</v>
      </c>
      <c r="F2">
        <v>0</v>
      </c>
      <c r="G2">
        <v>1</v>
      </c>
    </row>
    <row r="3" spans="1:7" x14ac:dyDescent="0.35">
      <c r="A3" t="s">
        <v>15</v>
      </c>
      <c r="B3" t="s">
        <v>32</v>
      </c>
      <c r="C3" t="s">
        <v>2</v>
      </c>
      <c r="D3">
        <v>70</v>
      </c>
      <c r="E3">
        <v>1</v>
      </c>
      <c r="F3">
        <v>2</v>
      </c>
      <c r="G3">
        <v>11</v>
      </c>
    </row>
    <row r="4" spans="1:7" x14ac:dyDescent="0.35">
      <c r="A4" t="s">
        <v>16</v>
      </c>
      <c r="B4" t="s">
        <v>32</v>
      </c>
      <c r="C4" t="s">
        <v>3</v>
      </c>
      <c r="D4">
        <v>80</v>
      </c>
      <c r="E4">
        <v>0</v>
      </c>
      <c r="F4">
        <v>1</v>
      </c>
      <c r="G4">
        <v>2</v>
      </c>
    </row>
    <row r="5" spans="1:7" x14ac:dyDescent="0.35">
      <c r="A5" t="s">
        <v>8</v>
      </c>
      <c r="B5" t="s">
        <v>34</v>
      </c>
      <c r="C5" t="s">
        <v>2</v>
      </c>
      <c r="D5">
        <v>50</v>
      </c>
      <c r="E5">
        <v>1</v>
      </c>
      <c r="F5">
        <v>3</v>
      </c>
      <c r="G5">
        <v>11</v>
      </c>
    </row>
    <row r="6" spans="1:7" x14ac:dyDescent="0.35">
      <c r="A6" t="s">
        <v>2</v>
      </c>
      <c r="B6" t="s">
        <v>34</v>
      </c>
      <c r="C6" t="s">
        <v>2</v>
      </c>
      <c r="D6">
        <v>70</v>
      </c>
      <c r="E6">
        <v>1</v>
      </c>
      <c r="F6">
        <v>4</v>
      </c>
      <c r="G6">
        <v>11</v>
      </c>
    </row>
    <row r="7" spans="1:7" x14ac:dyDescent="0.35">
      <c r="A7" t="s">
        <v>9</v>
      </c>
      <c r="B7" t="s">
        <v>31</v>
      </c>
      <c r="C7" t="s">
        <v>3</v>
      </c>
      <c r="D7">
        <v>100</v>
      </c>
      <c r="E7">
        <v>0</v>
      </c>
      <c r="F7">
        <v>0</v>
      </c>
      <c r="G7">
        <v>1</v>
      </c>
    </row>
    <row r="8" spans="1:7" x14ac:dyDescent="0.35">
      <c r="A8" t="s">
        <v>13</v>
      </c>
      <c r="B8" t="s">
        <v>33</v>
      </c>
      <c r="C8" t="s">
        <v>5</v>
      </c>
      <c r="D8">
        <v>70</v>
      </c>
      <c r="E8">
        <v>1</v>
      </c>
      <c r="F8">
        <v>2</v>
      </c>
      <c r="G8">
        <v>5</v>
      </c>
    </row>
    <row r="9" spans="1:7" x14ac:dyDescent="0.35">
      <c r="A9" t="s">
        <v>11</v>
      </c>
      <c r="B9" t="s">
        <v>31</v>
      </c>
      <c r="C9" t="s">
        <v>6</v>
      </c>
      <c r="D9">
        <v>90</v>
      </c>
      <c r="E9">
        <v>0</v>
      </c>
      <c r="F9">
        <v>0</v>
      </c>
      <c r="G9">
        <v>1</v>
      </c>
    </row>
    <row r="10" spans="1:7" x14ac:dyDescent="0.35">
      <c r="A10" t="s">
        <v>12</v>
      </c>
      <c r="B10" t="s">
        <v>33</v>
      </c>
      <c r="C10" t="s">
        <v>2</v>
      </c>
      <c r="D10">
        <v>50</v>
      </c>
      <c r="E10">
        <v>1</v>
      </c>
      <c r="F10">
        <v>6</v>
      </c>
      <c r="G10">
        <v>11</v>
      </c>
    </row>
    <row r="11" spans="1:7" x14ac:dyDescent="0.35">
      <c r="A11" t="s">
        <v>14</v>
      </c>
      <c r="B11" t="s">
        <v>14</v>
      </c>
      <c r="C11" t="s">
        <v>14</v>
      </c>
      <c r="D11">
        <v>80</v>
      </c>
      <c r="E11">
        <v>0</v>
      </c>
      <c r="F11">
        <v>0</v>
      </c>
      <c r="G11">
        <v>0</v>
      </c>
    </row>
    <row r="12" spans="1:7" x14ac:dyDescent="0.35">
      <c r="A12" t="s">
        <v>5</v>
      </c>
      <c r="B12" t="s">
        <v>34</v>
      </c>
      <c r="C12" t="s">
        <v>5</v>
      </c>
      <c r="D12">
        <v>80</v>
      </c>
      <c r="E12">
        <v>1</v>
      </c>
      <c r="F12">
        <v>1</v>
      </c>
      <c r="G12">
        <v>3</v>
      </c>
    </row>
    <row r="13" spans="1:7" x14ac:dyDescent="0.35">
      <c r="A13" t="s">
        <v>3</v>
      </c>
      <c r="B13" t="s">
        <v>34</v>
      </c>
      <c r="C13" t="s">
        <v>3</v>
      </c>
      <c r="D13">
        <v>40</v>
      </c>
      <c r="E13">
        <v>0</v>
      </c>
      <c r="F13">
        <v>1</v>
      </c>
      <c r="G13">
        <v>2</v>
      </c>
    </row>
    <row r="14" spans="1:7" x14ac:dyDescent="0.35">
      <c r="A14" t="s">
        <v>17</v>
      </c>
      <c r="B14" t="s">
        <v>33</v>
      </c>
      <c r="C14" t="s">
        <v>6</v>
      </c>
      <c r="D14">
        <v>60</v>
      </c>
      <c r="E14">
        <v>1</v>
      </c>
      <c r="F14">
        <v>1</v>
      </c>
      <c r="G14">
        <v>4</v>
      </c>
    </row>
    <row r="15" spans="1:7" x14ac:dyDescent="0.35">
      <c r="A15" t="s">
        <v>6</v>
      </c>
      <c r="B15" t="s">
        <v>34</v>
      </c>
      <c r="C15" t="s">
        <v>6</v>
      </c>
      <c r="D15">
        <v>80</v>
      </c>
      <c r="E15">
        <v>1</v>
      </c>
      <c r="F15">
        <v>0</v>
      </c>
      <c r="G15">
        <v>3</v>
      </c>
    </row>
    <row r="16" spans="1:7" x14ac:dyDescent="0.35">
      <c r="A16" t="s">
        <v>18</v>
      </c>
      <c r="B16" t="s">
        <v>31</v>
      </c>
      <c r="C16" t="s">
        <v>18</v>
      </c>
      <c r="D16">
        <v>60</v>
      </c>
      <c r="E16">
        <v>0</v>
      </c>
      <c r="F16">
        <v>0</v>
      </c>
      <c r="G16">
        <v>1</v>
      </c>
    </row>
    <row r="17" spans="1:2" x14ac:dyDescent="0.35">
      <c r="A17" t="s">
        <v>104</v>
      </c>
      <c r="B17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A9DD-5344-4AFD-8E5D-E1460669ACF9}">
  <dimension ref="A1:C10"/>
  <sheetViews>
    <sheetView zoomScale="104" workbookViewId="0">
      <selection activeCell="C4" sqref="C4"/>
    </sheetView>
  </sheetViews>
  <sheetFormatPr defaultColWidth="8.81640625" defaultRowHeight="14.5" x14ac:dyDescent="0.35"/>
  <cols>
    <col min="1" max="1" width="10.36328125" bestFit="1" customWidth="1"/>
    <col min="2" max="2" width="10.81640625" bestFit="1" customWidth="1"/>
    <col min="3" max="3" width="7.08984375" customWidth="1"/>
  </cols>
  <sheetData>
    <row r="1" spans="1:3" x14ac:dyDescent="0.35">
      <c r="A1" s="1" t="s">
        <v>43</v>
      </c>
      <c r="B1" s="1" t="s">
        <v>44</v>
      </c>
      <c r="C1" s="1" t="s">
        <v>37</v>
      </c>
    </row>
    <row r="2" spans="1:3" x14ac:dyDescent="0.35">
      <c r="A2">
        <v>1</v>
      </c>
      <c r="B2">
        <v>3</v>
      </c>
      <c r="C2">
        <v>-10000</v>
      </c>
    </row>
    <row r="3" spans="1:3" x14ac:dyDescent="0.35">
      <c r="A3">
        <v>1</v>
      </c>
      <c r="B3">
        <v>2</v>
      </c>
      <c r="C3">
        <v>-10000</v>
      </c>
    </row>
    <row r="4" spans="1:3" x14ac:dyDescent="0.35">
      <c r="A4">
        <v>2</v>
      </c>
      <c r="B4">
        <v>3</v>
      </c>
      <c r="C4">
        <v>-200</v>
      </c>
    </row>
    <row r="5" spans="1:3" x14ac:dyDescent="0.35">
      <c r="A5">
        <v>2</v>
      </c>
      <c r="B5">
        <v>1</v>
      </c>
      <c r="C5">
        <v>-50</v>
      </c>
    </row>
    <row r="6" spans="1:3" x14ac:dyDescent="0.35">
      <c r="A6">
        <v>3</v>
      </c>
      <c r="B6">
        <v>3</v>
      </c>
      <c r="C6">
        <v>100</v>
      </c>
    </row>
    <row r="7" spans="1:3" x14ac:dyDescent="0.35">
      <c r="A7">
        <v>2</v>
      </c>
      <c r="B7">
        <v>2</v>
      </c>
      <c r="C7">
        <v>100</v>
      </c>
    </row>
    <row r="8" spans="1:3" x14ac:dyDescent="0.35">
      <c r="A8">
        <v>1</v>
      </c>
      <c r="B8">
        <v>1</v>
      </c>
      <c r="C8">
        <v>100</v>
      </c>
    </row>
    <row r="9" spans="1:3" x14ac:dyDescent="0.35">
      <c r="A9">
        <v>3</v>
      </c>
      <c r="B9">
        <v>2</v>
      </c>
      <c r="C9">
        <v>-200</v>
      </c>
    </row>
    <row r="10" spans="1:3" x14ac:dyDescent="0.35">
      <c r="A10">
        <v>3</v>
      </c>
      <c r="B10">
        <v>1</v>
      </c>
      <c r="C10">
        <v>-200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54E1-26EA-4C6C-A87B-6FC746D3DCD2}">
  <dimension ref="A1:E35"/>
  <sheetViews>
    <sheetView zoomScale="90" workbookViewId="0">
      <selection activeCell="E27" sqref="E27"/>
    </sheetView>
  </sheetViews>
  <sheetFormatPr defaultColWidth="8.81640625" defaultRowHeight="14.5" x14ac:dyDescent="0.35"/>
  <cols>
    <col min="1" max="1" width="18.81640625" bestFit="1" customWidth="1"/>
  </cols>
  <sheetData>
    <row r="1" spans="1:5" x14ac:dyDescent="0.35">
      <c r="A1" s="1" t="s">
        <v>35</v>
      </c>
      <c r="B1" s="1" t="s">
        <v>36</v>
      </c>
      <c r="C1" s="1" t="s">
        <v>37</v>
      </c>
    </row>
    <row r="2" spans="1:5" x14ac:dyDescent="0.35">
      <c r="A2" t="s">
        <v>38</v>
      </c>
      <c r="B2">
        <v>0</v>
      </c>
      <c r="C2">
        <v>50</v>
      </c>
    </row>
    <row r="3" spans="1:5" x14ac:dyDescent="0.35">
      <c r="A3" t="s">
        <v>38</v>
      </c>
      <c r="B3">
        <v>1</v>
      </c>
      <c r="C3">
        <v>30</v>
      </c>
    </row>
    <row r="4" spans="1:5" x14ac:dyDescent="0.35">
      <c r="A4" t="s">
        <v>38</v>
      </c>
      <c r="B4">
        <v>2</v>
      </c>
      <c r="C4">
        <v>15</v>
      </c>
    </row>
    <row r="5" spans="1:5" x14ac:dyDescent="0.35">
      <c r="A5" t="s">
        <v>38</v>
      </c>
      <c r="B5">
        <v>3</v>
      </c>
      <c r="C5">
        <v>-10</v>
      </c>
    </row>
    <row r="6" spans="1:5" x14ac:dyDescent="0.35">
      <c r="A6" t="s">
        <v>38</v>
      </c>
      <c r="B6">
        <v>4</v>
      </c>
      <c r="C6">
        <v>-50</v>
      </c>
    </row>
    <row r="7" spans="1:5" x14ac:dyDescent="0.35">
      <c r="A7" t="s">
        <v>39</v>
      </c>
      <c r="B7">
        <v>0</v>
      </c>
      <c r="C7">
        <v>50</v>
      </c>
      <c r="E7" s="3"/>
    </row>
    <row r="8" spans="1:5" x14ac:dyDescent="0.35">
      <c r="A8" t="s">
        <v>39</v>
      </c>
      <c r="B8">
        <v>1</v>
      </c>
      <c r="C8">
        <v>25</v>
      </c>
    </row>
    <row r="9" spans="1:5" x14ac:dyDescent="0.35">
      <c r="A9" t="s">
        <v>39</v>
      </c>
      <c r="B9">
        <v>2</v>
      </c>
      <c r="C9">
        <v>0</v>
      </c>
    </row>
    <row r="10" spans="1:5" x14ac:dyDescent="0.35">
      <c r="A10" t="s">
        <v>39</v>
      </c>
      <c r="B10">
        <v>3</v>
      </c>
      <c r="C10">
        <v>-25</v>
      </c>
    </row>
    <row r="11" spans="1:5" x14ac:dyDescent="0.35">
      <c r="A11" t="s">
        <v>39</v>
      </c>
      <c r="B11">
        <v>4</v>
      </c>
      <c r="C11">
        <v>-50</v>
      </c>
    </row>
    <row r="12" spans="1:5" x14ac:dyDescent="0.35">
      <c r="A12" t="s">
        <v>39</v>
      </c>
      <c r="B12">
        <v>5</v>
      </c>
      <c r="C12">
        <v>-60</v>
      </c>
    </row>
    <row r="13" spans="1:5" x14ac:dyDescent="0.35">
      <c r="A13" t="s">
        <v>1</v>
      </c>
      <c r="B13">
        <v>0</v>
      </c>
      <c r="C13">
        <v>20</v>
      </c>
    </row>
    <row r="14" spans="1:5" x14ac:dyDescent="0.35">
      <c r="A14" t="s">
        <v>1</v>
      </c>
      <c r="B14">
        <v>1</v>
      </c>
      <c r="C14">
        <v>10</v>
      </c>
    </row>
    <row r="15" spans="1:5" x14ac:dyDescent="0.35">
      <c r="A15" t="s">
        <v>1</v>
      </c>
      <c r="B15">
        <v>2</v>
      </c>
      <c r="C15">
        <v>0</v>
      </c>
    </row>
    <row r="16" spans="1:5" x14ac:dyDescent="0.35">
      <c r="A16" t="s">
        <v>1</v>
      </c>
      <c r="B16">
        <v>3</v>
      </c>
      <c r="C16">
        <v>0</v>
      </c>
    </row>
    <row r="17" spans="1:3" x14ac:dyDescent="0.35">
      <c r="A17" t="s">
        <v>1</v>
      </c>
      <c r="B17">
        <v>4</v>
      </c>
      <c r="C17">
        <v>-10</v>
      </c>
    </row>
    <row r="18" spans="1:3" x14ac:dyDescent="0.35">
      <c r="A18" t="s">
        <v>1</v>
      </c>
      <c r="B18">
        <v>5</v>
      </c>
      <c r="C18">
        <v>-20</v>
      </c>
    </row>
    <row r="19" spans="1:3" x14ac:dyDescent="0.35">
      <c r="A19" t="s">
        <v>40</v>
      </c>
      <c r="B19">
        <v>0</v>
      </c>
      <c r="C19">
        <v>10</v>
      </c>
    </row>
    <row r="20" spans="1:3" x14ac:dyDescent="0.35">
      <c r="A20" t="s">
        <v>40</v>
      </c>
      <c r="B20">
        <v>1</v>
      </c>
      <c r="C20">
        <v>-10</v>
      </c>
    </row>
    <row r="21" spans="1:3" x14ac:dyDescent="0.35">
      <c r="A21" t="s">
        <v>40</v>
      </c>
      <c r="B21">
        <v>2</v>
      </c>
      <c r="C21">
        <v>-20</v>
      </c>
    </row>
    <row r="22" spans="1:3" x14ac:dyDescent="0.35">
      <c r="A22" t="s">
        <v>40</v>
      </c>
      <c r="B22">
        <v>3</v>
      </c>
      <c r="C22">
        <v>-40</v>
      </c>
    </row>
    <row r="23" spans="1:3" x14ac:dyDescent="0.35">
      <c r="A23" t="s">
        <v>40</v>
      </c>
      <c r="B23">
        <v>4</v>
      </c>
      <c r="C23">
        <v>-80</v>
      </c>
    </row>
    <row r="24" spans="1:3" x14ac:dyDescent="0.35">
      <c r="A24" t="s">
        <v>40</v>
      </c>
      <c r="B24">
        <v>5</v>
      </c>
      <c r="C24">
        <v>-160</v>
      </c>
    </row>
    <row r="25" spans="1:3" x14ac:dyDescent="0.35">
      <c r="A25" t="s">
        <v>41</v>
      </c>
      <c r="B25">
        <v>1</v>
      </c>
      <c r="C25">
        <v>-1</v>
      </c>
    </row>
    <row r="26" spans="1:3" x14ac:dyDescent="0.35">
      <c r="A26" t="s">
        <v>41</v>
      </c>
      <c r="B26">
        <v>2</v>
      </c>
      <c r="C26">
        <f>+C25*2</f>
        <v>-2</v>
      </c>
    </row>
    <row r="27" spans="1:3" x14ac:dyDescent="0.35">
      <c r="A27" t="s">
        <v>41</v>
      </c>
      <c r="B27">
        <v>3</v>
      </c>
      <c r="C27">
        <f>+C26*2</f>
        <v>-4</v>
      </c>
    </row>
    <row r="28" spans="1:3" x14ac:dyDescent="0.35">
      <c r="A28" t="s">
        <v>41</v>
      </c>
      <c r="B28">
        <v>4</v>
      </c>
      <c r="C28">
        <f>+C27*2</f>
        <v>-8</v>
      </c>
    </row>
    <row r="29" spans="1:3" x14ac:dyDescent="0.35">
      <c r="A29" t="s">
        <v>42</v>
      </c>
      <c r="B29">
        <v>1</v>
      </c>
      <c r="C29">
        <v>-50</v>
      </c>
    </row>
    <row r="30" spans="1:3" x14ac:dyDescent="0.35">
      <c r="A30" t="s">
        <v>45</v>
      </c>
      <c r="B30">
        <v>1</v>
      </c>
      <c r="C30">
        <v>100</v>
      </c>
    </row>
    <row r="31" spans="1:3" x14ac:dyDescent="0.35">
      <c r="A31" t="s">
        <v>46</v>
      </c>
      <c r="B31">
        <v>0</v>
      </c>
      <c r="C31">
        <v>20</v>
      </c>
    </row>
    <row r="32" spans="1:3" x14ac:dyDescent="0.35">
      <c r="A32" t="s">
        <v>46</v>
      </c>
      <c r="B32">
        <v>1</v>
      </c>
      <c r="C32">
        <v>0</v>
      </c>
    </row>
    <row r="33" spans="1:3" x14ac:dyDescent="0.35">
      <c r="A33" t="s">
        <v>46</v>
      </c>
      <c r="B33">
        <v>2</v>
      </c>
      <c r="C33">
        <v>-20</v>
      </c>
    </row>
    <row r="34" spans="1:3" x14ac:dyDescent="0.35">
      <c r="A34" t="s">
        <v>46</v>
      </c>
      <c r="B34">
        <v>3</v>
      </c>
      <c r="C34">
        <v>-60</v>
      </c>
    </row>
    <row r="35" spans="1:3" x14ac:dyDescent="0.35">
      <c r="A35" t="s">
        <v>46</v>
      </c>
      <c r="B35">
        <v>4</v>
      </c>
      <c r="C35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Leiðbeiningar</vt:lpstr>
      <vt:lpstr>Events</vt:lpstr>
      <vt:lpstr>Employees</vt:lpstr>
      <vt:lpstr>DaysOff</vt:lpstr>
      <vt:lpstr>EventReq</vt:lpstr>
      <vt:lpstr>EventTypes</vt:lpstr>
      <vt:lpstr>SkillsetScores</vt:lpstr>
      <vt:lpstr>ScoreKeys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Silja Guðmundsdóttir</cp:lastModifiedBy>
  <dcterms:created xsi:type="dcterms:W3CDTF">2026-02-08T13:27:47Z</dcterms:created>
  <dcterms:modified xsi:type="dcterms:W3CDTF">2026-05-12T19:04:09Z</dcterms:modified>
</cp:coreProperties>
</file>