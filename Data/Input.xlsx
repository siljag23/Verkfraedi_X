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ja\Downloads\"/>
    </mc:Choice>
  </mc:AlternateContent>
  <xr:revisionPtr revIDLastSave="0" documentId="13_ncr:1_{48F12CCC-86FC-4BA0-A64F-1A159E36FDE6}" xr6:coauthVersionLast="47" xr6:coauthVersionMax="47" xr10:uidLastSave="{00000000-0000-0000-0000-000000000000}"/>
  <bookViews>
    <workbookView xWindow="-110" yWindow="-110" windowWidth="19420" windowHeight="11500" firstSheet="2" activeTab="4" xr2:uid="{7CFC1604-4118-4D2C-86E1-DDF4E62B5004}"/>
  </bookViews>
  <sheets>
    <sheet name="Events" sheetId="3" r:id="rId1"/>
    <sheet name="Employees" sheetId="2" r:id="rId2"/>
    <sheet name="DaysOff" sheetId="4" r:id="rId3"/>
    <sheet name="EventReq" sheetId="9" r:id="rId4"/>
    <sheet name="ScoreKeys" sheetId="7" r:id="rId5"/>
    <sheet name="SkillsetScores" sheetId="8" r:id="rId6"/>
    <sheet name="Score krass" sheetId="6" r:id="rId7"/>
    <sheet name="EventType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2" i="3"/>
  <c r="D3" i="3"/>
  <c r="AH1" i="9"/>
  <c r="AG1" i="9"/>
  <c r="AF1" i="9"/>
  <c r="AE1" i="9"/>
  <c r="AD1" i="9"/>
  <c r="AC1" i="9"/>
  <c r="AB1" i="9"/>
  <c r="AA1" i="9"/>
  <c r="Z1" i="9"/>
  <c r="Y1" i="9"/>
  <c r="X1" i="9"/>
  <c r="W1" i="9"/>
  <c r="V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1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1" i="9"/>
  <c r="C27" i="7"/>
  <c r="C28" i="7" s="1"/>
  <c r="C29" i="7" s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E2" i="3"/>
  <c r="I6" i="3"/>
  <c r="I7" i="3"/>
  <c r="I8" i="3"/>
  <c r="I9" i="3"/>
  <c r="I10" i="3"/>
  <c r="I11" i="3"/>
  <c r="I12" i="3"/>
  <c r="I13" i="3"/>
  <c r="I14" i="3"/>
  <c r="I15" i="3"/>
  <c r="I16" i="3"/>
  <c r="I17" i="3"/>
  <c r="I20" i="3"/>
  <c r="I21" i="3"/>
  <c r="I22" i="3"/>
  <c r="I23" i="3"/>
  <c r="I24" i="3"/>
  <c r="I25" i="3"/>
  <c r="I26" i="3"/>
  <c r="I28" i="3"/>
  <c r="I29" i="3"/>
  <c r="I30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C27" i="6"/>
  <c r="C28" i="6" s="1"/>
  <c r="C29" i="6" s="1"/>
  <c r="C21" i="6"/>
  <c r="C22" i="6" s="1"/>
  <c r="C23" i="6" s="1"/>
  <c r="C24" i="6" s="1"/>
  <c r="E3" i="3"/>
  <c r="E4" i="3"/>
  <c r="E5" i="3"/>
  <c r="F2" i="3"/>
  <c r="G4" i="3"/>
  <c r="I3" i="3"/>
  <c r="I4" i="3"/>
  <c r="I5" i="3"/>
  <c r="H3" i="3"/>
  <c r="H4" i="3"/>
  <c r="H5" i="3"/>
  <c r="G3" i="3"/>
  <c r="G5" i="3"/>
  <c r="I2" i="3"/>
  <c r="H2" i="3"/>
  <c r="G2" i="3"/>
  <c r="F3" i="3"/>
  <c r="F4" i="3"/>
  <c r="F5" i="3"/>
</calcChain>
</file>

<file path=xl/sharedStrings.xml><?xml version="1.0" encoding="utf-8"?>
<sst xmlns="http://schemas.openxmlformats.org/spreadsheetml/2006/main" count="354" uniqueCount="179">
  <si>
    <t xml:space="preserve">1.5.2024 </t>
  </si>
  <si>
    <t xml:space="preserve">2.5.2024 </t>
  </si>
  <si>
    <t xml:space="preserve">3.5.2024 </t>
  </si>
  <si>
    <t>4.5.2024</t>
  </si>
  <si>
    <t>5.5.2024</t>
  </si>
  <si>
    <t>6.5.2024</t>
  </si>
  <si>
    <t>7.5.2024</t>
  </si>
  <si>
    <t>8.5.2024</t>
  </si>
  <si>
    <t>9.5.2024</t>
  </si>
  <si>
    <t>10.5.2024</t>
  </si>
  <si>
    <t>11.5.2024</t>
  </si>
  <si>
    <t>12.5.2024</t>
  </si>
  <si>
    <t>13.5.2024</t>
  </si>
  <si>
    <t>14.5.2024</t>
  </si>
  <si>
    <t>15.5.2024</t>
  </si>
  <si>
    <t>16.5.2024</t>
  </si>
  <si>
    <t>17.5.2024</t>
  </si>
  <si>
    <t>18.5.2024</t>
  </si>
  <si>
    <t>19.5.2024</t>
  </si>
  <si>
    <t>20.5.2024</t>
  </si>
  <si>
    <t>22.5.2024</t>
  </si>
  <si>
    <t>21.5.2024</t>
  </si>
  <si>
    <t>23.5.2024</t>
  </si>
  <si>
    <t>24.5.2024</t>
  </si>
  <si>
    <t>25.5.2024</t>
  </si>
  <si>
    <t>26.5.2024</t>
  </si>
  <si>
    <t>27.5.2024</t>
  </si>
  <si>
    <t>28.5.2024</t>
  </si>
  <si>
    <t>29.5.2024</t>
  </si>
  <si>
    <t>31.5.2024</t>
  </si>
  <si>
    <t>Event</t>
  </si>
  <si>
    <t>Hall</t>
  </si>
  <si>
    <t>EB</t>
  </si>
  <si>
    <t>KL</t>
  </si>
  <si>
    <t>BL</t>
  </si>
  <si>
    <t>SB</t>
  </si>
  <si>
    <t>NL</t>
  </si>
  <si>
    <t>Múlinn</t>
  </si>
  <si>
    <t>Sinfó</t>
  </si>
  <si>
    <t>How To</t>
  </si>
  <si>
    <t>Date</t>
  </si>
  <si>
    <t>1.5.2024</t>
  </si>
  <si>
    <t xml:space="preserve">How to </t>
  </si>
  <si>
    <t>Sígildir</t>
  </si>
  <si>
    <t>Partý EB</t>
  </si>
  <si>
    <t>Partý SB</t>
  </si>
  <si>
    <t>2.5.2024</t>
  </si>
  <si>
    <t>Fatahengi</t>
  </si>
  <si>
    <t>Barna EB</t>
  </si>
  <si>
    <t>Barna KL</t>
  </si>
  <si>
    <t>Party NL</t>
  </si>
  <si>
    <t>HH</t>
  </si>
  <si>
    <t>EventType</t>
  </si>
  <si>
    <t>Skillset1</t>
  </si>
  <si>
    <t>Skillset2</t>
  </si>
  <si>
    <t>Employees</t>
  </si>
  <si>
    <t>ShiftBegins</t>
  </si>
  <si>
    <t>ShiftEnds</t>
  </si>
  <si>
    <t>EventID</t>
  </si>
  <si>
    <t>EventRanking</t>
  </si>
  <si>
    <t>Mínus</t>
  </si>
  <si>
    <t>Helgi, kominn með aðra helgi</t>
  </si>
  <si>
    <t>Ef þú ert ekki kominn með neina vakt um helgi</t>
  </si>
  <si>
    <t>Ef þú ert kominn með 1 helgi</t>
  </si>
  <si>
    <t>Ef þú ert kominn með 2 helgar</t>
  </si>
  <si>
    <t>Ef þú ert kominn með 3 helgar</t>
  </si>
  <si>
    <t>Ef þú ert kominn með 4 helgar</t>
  </si>
  <si>
    <t>Helgi, var með helgi síðast</t>
  </si>
  <si>
    <t>Ef þú varst með 1 helgi</t>
  </si>
  <si>
    <t>Ef þú varst með 2 helgar</t>
  </si>
  <si>
    <t>Ef þú varst með 3 helgar</t>
  </si>
  <si>
    <t>Ef þú varst með 4 helgar</t>
  </si>
  <si>
    <t>Ef þú varst með 5 helgar</t>
  </si>
  <si>
    <t>Salur</t>
  </si>
  <si>
    <t>Ef þú ert búinn að fá 1 vakt í þessum sal á tímabilinu</t>
  </si>
  <si>
    <t>Ef þú ert búinn að fá 2 vaktir í þessum sal á tímabilinu</t>
  </si>
  <si>
    <t>Ef þú ert búinn að fá 3 vaktir í þessum sal á tímabilinu</t>
  </si>
  <si>
    <t>Ef þú ert búinn að fá 4 vaktir í þessum sal á tímabilinu</t>
  </si>
  <si>
    <t>Ef þú ert búinn að fá 5 vaktir í þessum sal á tímabilinu</t>
  </si>
  <si>
    <t>Vika</t>
  </si>
  <si>
    <t>Ef þú ert búinn að fá 1 vakt í þessari viku</t>
  </si>
  <si>
    <t>Ef þú ert búinn að fá 2 vaktir í þessari viku</t>
  </si>
  <si>
    <t>Ef þú ert búinn að fá 3 vaktir í þessari viku</t>
  </si>
  <si>
    <t>Ef þú ert búinn að fá 4 vaktir í þessari viku</t>
  </si>
  <si>
    <t>Ef þú ert búinn að fá 5 vaktir í þessari viku</t>
  </si>
  <si>
    <t>Hvað hún er löng</t>
  </si>
  <si>
    <t>Ef þú ert búinn að fá 1 vakt með þessa lengd</t>
  </si>
  <si>
    <t>Ef þú ert búinn að fá 2 vaktir með þessa lengd</t>
  </si>
  <si>
    <t>Ef þú ert búinn að fá 3 vaktir með þessa lengd</t>
  </si>
  <si>
    <t>Ef þú ert búinn að fá 4 vaktir með þessa lengd</t>
  </si>
  <si>
    <t>Langar vaktir</t>
  </si>
  <si>
    <t>Ef þú ert búinn að fá vakt á þessu tímabili sem er lengri en 6 klst.</t>
  </si>
  <si>
    <t>Með hverjum?</t>
  </si>
  <si>
    <t>Skillset</t>
  </si>
  <si>
    <t>Ef þarf skillset 2 en þú ert 1</t>
  </si>
  <si>
    <t>Ef þarf skillset 2 en þú ert 3</t>
  </si>
  <si>
    <t>Ef þarf skillset 3 og þú ert</t>
  </si>
  <si>
    <t>Ef þarf skillset 2 og þú ert</t>
  </si>
  <si>
    <t>Ef þarf skillset 1 og þú ert</t>
  </si>
  <si>
    <t>Upprás</t>
  </si>
  <si>
    <t>MúsikTilraunir</t>
  </si>
  <si>
    <t>Krakka Sinfó</t>
  </si>
  <si>
    <t>3.5.2024</t>
  </si>
  <si>
    <t>K&amp;B</t>
  </si>
  <si>
    <t>ABBA</t>
  </si>
  <si>
    <t>EmployeeID</t>
  </si>
  <si>
    <t>EmployeeName</t>
  </si>
  <si>
    <t>Anna</t>
  </si>
  <si>
    <t>Bergur</t>
  </si>
  <si>
    <t>Camilla</t>
  </si>
  <si>
    <t>Davíð</t>
  </si>
  <si>
    <t>Erla</t>
  </si>
  <si>
    <t>Freyja</t>
  </si>
  <si>
    <t>Gunnar</t>
  </si>
  <si>
    <t>Helena</t>
  </si>
  <si>
    <t>Inga</t>
  </si>
  <si>
    <t>Jóna</t>
  </si>
  <si>
    <t>Kata</t>
  </si>
  <si>
    <t>Lísa</t>
  </si>
  <si>
    <t>Máni</t>
  </si>
  <si>
    <t>Nanna</t>
  </si>
  <si>
    <t>Oliver</t>
  </si>
  <si>
    <t>Ólafur</t>
  </si>
  <si>
    <t>Rakel</t>
  </si>
  <si>
    <t>Pétur</t>
  </si>
  <si>
    <t>Silja</t>
  </si>
  <si>
    <t>Thelma</t>
  </si>
  <si>
    <t>Unnur</t>
  </si>
  <si>
    <t>Ásdís</t>
  </si>
  <si>
    <t>Vala</t>
  </si>
  <si>
    <t>Ylfa</t>
  </si>
  <si>
    <t>Össur</t>
  </si>
  <si>
    <t>Úlfur</t>
  </si>
  <si>
    <t>Aron</t>
  </si>
  <si>
    <t>Sara</t>
  </si>
  <si>
    <t>Harpa</t>
  </si>
  <si>
    <t>Laufey</t>
  </si>
  <si>
    <t>Helgi</t>
  </si>
  <si>
    <t>Björk</t>
  </si>
  <si>
    <t>Gusgus</t>
  </si>
  <si>
    <t>Vitringar</t>
  </si>
  <si>
    <t>Abba</t>
  </si>
  <si>
    <t>Maxi</t>
  </si>
  <si>
    <t>11.05.2024</t>
  </si>
  <si>
    <t>12.05.2024</t>
  </si>
  <si>
    <t>13.05.2024</t>
  </si>
  <si>
    <t>14.05.2024</t>
  </si>
  <si>
    <t>16.05.2024</t>
  </si>
  <si>
    <t>17.05.2024</t>
  </si>
  <si>
    <t>18.05.2024</t>
  </si>
  <si>
    <t>19.05.2024</t>
  </si>
  <si>
    <t>20.05.2024</t>
  </si>
  <si>
    <t>23.05.2024</t>
  </si>
  <si>
    <t>24.05.2024</t>
  </si>
  <si>
    <t>25.05.2024</t>
  </si>
  <si>
    <t>26.05.2024</t>
  </si>
  <si>
    <t>30.05.2024</t>
  </si>
  <si>
    <t>31.05.2024</t>
  </si>
  <si>
    <t>EventCategory</t>
  </si>
  <si>
    <t>Solo</t>
  </si>
  <si>
    <t>Barna</t>
  </si>
  <si>
    <t>Party</t>
  </si>
  <si>
    <t>Basic</t>
  </si>
  <si>
    <t>RuleType</t>
  </si>
  <si>
    <t>Key</t>
  </si>
  <si>
    <t>Score</t>
  </si>
  <si>
    <t>Weekend</t>
  </si>
  <si>
    <t>Weekend_last_period</t>
  </si>
  <si>
    <t>Shifts_this_week</t>
  </si>
  <si>
    <t>Shifs_this_length</t>
  </si>
  <si>
    <t>Shift_over_six_hours</t>
  </si>
  <si>
    <t>ReqSkillset</t>
  </si>
  <si>
    <t>EmpSkillset</t>
  </si>
  <si>
    <t>Ef þarf skillset 1 en þú ert ekki</t>
  </si>
  <si>
    <t>Ef þarf skillset 3 og þú ert 1 eða 2</t>
  </si>
  <si>
    <t>x</t>
  </si>
  <si>
    <t>Req_this_shift</t>
  </si>
  <si>
    <t>30.5.2024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</si>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</sst>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1" fillId="0" borderId="0" xfId="0" applyFont="1"/>
    <xf numFmtId="3" fontId="0" fillId="0" borderId="0" xfId="0" applyNumberFormat="1"/>
    <xf numFmtId="46" fontId="0" fillId="0" borderId="0" xfId="0" applyNumberFormat="1"/>
    <xf numFmtId="164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C5EB-2E56-4141-9621-F1338A9E2497}">
  <dimension ref="A1:L31"/>
  <sheetViews>
    <sheetView zoomScaleNormal="100" workbookViewId="0">
      <selection activeCell="E17" sqref="E17"/>
    </sheetView>
  </sheetViews>
  <sheetFormatPr defaultRowHeight="14.5" x14ac:dyDescent="0.35"/>
  <cols>
    <col min="2" max="2" width="13.453125" bestFit="1" customWidth="1"/>
    <col min="3" max="3" width="11.81640625" customWidth="1"/>
    <col min="4" max="4" width="12.90625" bestFit="1" customWidth="1"/>
    <col min="5" max="5" width="11.81640625" customWidth="1"/>
    <col min="9" max="10" width="10.1796875" bestFit="1" customWidth="1"/>
    <col min="11" max="11" width="10.08984375" bestFit="1" customWidth="1"/>
    <col min="12" max="12" width="9.6328125" bestFit="1" customWidth="1"/>
  </cols>
  <sheetData>
    <row r="1" spans="1:12" x14ac:dyDescent="0.35">
      <c r="A1" s="2" t="s">
        <v>58</v>
      </c>
      <c r="B1" s="2" t="s">
        <v>30</v>
      </c>
      <c r="C1" s="2" t="s">
        <v>52</v>
      </c>
      <c r="D1" s="2" t="s">
        <v>158</v>
      </c>
      <c r="E1" s="2" t="s">
        <v>59</v>
      </c>
      <c r="F1" s="2" t="s">
        <v>31</v>
      </c>
      <c r="G1" s="2" t="s">
        <v>53</v>
      </c>
      <c r="H1" s="2" t="s">
        <v>54</v>
      </c>
      <c r="I1" s="2" t="s">
        <v>55</v>
      </c>
      <c r="J1" s="2" t="s">
        <v>40</v>
      </c>
      <c r="K1" s="2" t="s">
        <v>56</v>
      </c>
      <c r="L1" s="2" t="s">
        <v>57</v>
      </c>
    </row>
    <row r="2" spans="1:12" x14ac:dyDescent="0.35">
      <c r="A2">
        <v>1</v>
      </c>
      <c r="B2" t="s">
        <v>99</v>
      </c>
      <c r="C2" t="s">
        <v>33</v>
      </c>
      <c r="D2" t="str">
        <f>_xlfn.XLOOKUP(C2,EventTypes!A:A,EventTypes!B:B,"")</f>
        <v>Basic</v>
      </c>
      <c r="E2">
        <f>_xlfn.XLOOKUP(C2,EventTypes!A:A,EventTypes!D:D,"")</f>
        <v>40</v>
      </c>
      <c r="F2" t="str">
        <f>_xlfn.XLOOKUP(C2,EventTypes!A:A,EventTypes!C:C,"")</f>
        <v>KL</v>
      </c>
      <c r="G2">
        <f>_xlfn.XLOOKUP(C2,EventTypes!A:A,EventTypes!E:E,"")</f>
        <v>0</v>
      </c>
      <c r="H2">
        <f>_xlfn.XLOOKUP(C2,EventTypes!A:A,EventTypes!F:F,"")</f>
        <v>1</v>
      </c>
      <c r="I2">
        <f>_xlfn.XLOOKUP(C2,EventTypes!A:A,EventTypes!G:G,"")</f>
        <v>2</v>
      </c>
      <c r="J2" t="s">
        <v>41</v>
      </c>
      <c r="K2" s="1">
        <v>0.625</v>
      </c>
      <c r="L2" s="1">
        <v>0.75</v>
      </c>
    </row>
    <row r="3" spans="1:12" x14ac:dyDescent="0.35">
      <c r="A3">
        <v>2</v>
      </c>
      <c r="B3" t="s">
        <v>42</v>
      </c>
      <c r="C3" t="s">
        <v>39</v>
      </c>
      <c r="D3" t="str">
        <f>_xlfn.XLOOKUP(C3,EventTypes!A:A,EventTypes!B:B,"")</f>
        <v>Solo</v>
      </c>
      <c r="E3">
        <f>_xlfn.XLOOKUP(C3,EventTypes!A:A,EventTypes!D:D,"")</f>
        <v>100</v>
      </c>
      <c r="F3" t="str">
        <f>_xlfn.XLOOKUP(C3,EventTypes!A:A,EventTypes!C:C,"")</f>
        <v>KL</v>
      </c>
      <c r="G3">
        <f>_xlfn.XLOOKUP(C3,EventTypes!A:A,EventTypes!E:E,"")</f>
        <v>0</v>
      </c>
      <c r="H3">
        <f>_xlfn.XLOOKUP(C3,EventTypes!A:A,EventTypes!F:F,"")</f>
        <v>0</v>
      </c>
      <c r="I3">
        <f>_xlfn.XLOOKUP(C3,EventTypes!A:A,EventTypes!G:G,"")</f>
        <v>1</v>
      </c>
      <c r="J3" t="s">
        <v>41</v>
      </c>
      <c r="K3" s="1">
        <v>0.79166666666666663</v>
      </c>
      <c r="L3" s="1">
        <v>0.91666666666666663</v>
      </c>
    </row>
    <row r="4" spans="1:12" x14ac:dyDescent="0.35">
      <c r="A4">
        <v>3</v>
      </c>
      <c r="B4" t="s">
        <v>100</v>
      </c>
      <c r="C4" t="s">
        <v>36</v>
      </c>
      <c r="D4" t="str">
        <f>_xlfn.XLOOKUP(C4,EventTypes!A:A,EventTypes!B:B,"")</f>
        <v>Basic</v>
      </c>
      <c r="E4">
        <f>_xlfn.XLOOKUP(C4,EventTypes!A:A,EventTypes!D:D,"")</f>
        <v>80</v>
      </c>
      <c r="F4" t="str">
        <f>_xlfn.XLOOKUP(C4,EventTypes!A:A,EventTypes!C:C,"")</f>
        <v>NL</v>
      </c>
      <c r="G4">
        <f>_xlfn.XLOOKUP(C4,EventTypes!A:A,EventTypes!E:E,"")</f>
        <v>1</v>
      </c>
      <c r="H4">
        <f>_xlfn.XLOOKUP(C4,EventTypes!A:A,EventTypes!F:F,"")</f>
        <v>0</v>
      </c>
      <c r="I4">
        <f>_xlfn.XLOOKUP(C4,EventTypes!A:A,EventTypes!G:G,"")</f>
        <v>3</v>
      </c>
      <c r="J4" t="s">
        <v>41</v>
      </c>
      <c r="K4" s="1">
        <v>0.79166666666666663</v>
      </c>
      <c r="L4" s="1">
        <v>0.91666666666666663</v>
      </c>
    </row>
    <row r="5" spans="1:12" x14ac:dyDescent="0.35">
      <c r="A5">
        <v>4</v>
      </c>
      <c r="B5" t="s">
        <v>100</v>
      </c>
      <c r="C5" t="s">
        <v>36</v>
      </c>
      <c r="D5" t="str">
        <f>_xlfn.XLOOKUP(C5,EventTypes!A:A,EventTypes!B:B,"")</f>
        <v>Basic</v>
      </c>
      <c r="E5">
        <f>_xlfn.XLOOKUP(C5,EventTypes!A:A,EventTypes!D:D,"")</f>
        <v>80</v>
      </c>
      <c r="F5" t="str">
        <f>_xlfn.XLOOKUP(C5,EventTypes!A:A,EventTypes!C:C,"")</f>
        <v>NL</v>
      </c>
      <c r="G5">
        <f>_xlfn.XLOOKUP(C5,EventTypes!A:A,EventTypes!E:E,"")</f>
        <v>1</v>
      </c>
      <c r="H5">
        <f>_xlfn.XLOOKUP(C5,EventTypes!A:A,EventTypes!F:F,"")</f>
        <v>0</v>
      </c>
      <c r="I5">
        <f>_xlfn.XLOOKUP(C5,EventTypes!A:A,EventTypes!G:G,"")</f>
        <v>3</v>
      </c>
      <c r="J5" t="s">
        <v>46</v>
      </c>
      <c r="K5" s="1">
        <v>0.79166666666666663</v>
      </c>
      <c r="L5" s="1">
        <v>0.91666666666666663</v>
      </c>
    </row>
    <row r="6" spans="1:12" x14ac:dyDescent="0.35">
      <c r="A6">
        <v>5</v>
      </c>
      <c r="B6" t="s">
        <v>100</v>
      </c>
      <c r="C6" t="s">
        <v>33</v>
      </c>
      <c r="D6" t="str">
        <f>_xlfn.XLOOKUP(C6,EventTypes!A:A,EventTypes!B:B,"")</f>
        <v>Basic</v>
      </c>
      <c r="E6">
        <f>_xlfn.XLOOKUP(C6,EventTypes!A:A,EventTypes!D:D,"")</f>
        <v>40</v>
      </c>
      <c r="F6" t="str">
        <f>_xlfn.XLOOKUP(C6,EventTypes!A:A,EventTypes!C:C,"")</f>
        <v>KL</v>
      </c>
      <c r="G6">
        <f>_xlfn.XLOOKUP(C6,EventTypes!A:A,EventTypes!E:E,"")</f>
        <v>0</v>
      </c>
      <c r="H6">
        <f>_xlfn.XLOOKUP(C6,EventTypes!A:A,EventTypes!F:F,"")</f>
        <v>1</v>
      </c>
      <c r="I6">
        <f>_xlfn.XLOOKUP(C6,EventTypes!A:A,EventTypes!G:G,"")</f>
        <v>2</v>
      </c>
      <c r="J6" t="s">
        <v>102</v>
      </c>
      <c r="K6" s="1">
        <v>0.79166666666666663</v>
      </c>
      <c r="L6" s="1">
        <v>0.91666666666666663</v>
      </c>
    </row>
    <row r="7" spans="1:12" x14ac:dyDescent="0.35">
      <c r="A7">
        <v>6</v>
      </c>
      <c r="B7" t="s">
        <v>101</v>
      </c>
      <c r="C7" t="s">
        <v>48</v>
      </c>
      <c r="D7" t="str">
        <f>_xlfn.XLOOKUP(C7,EventTypes!A:A,EventTypes!B:B,"")</f>
        <v>Barna</v>
      </c>
      <c r="E7">
        <f>_xlfn.XLOOKUP(C7,EventTypes!A:A,EventTypes!D:D,"")</f>
        <v>70</v>
      </c>
      <c r="F7" t="str">
        <f>_xlfn.XLOOKUP(C7,EventTypes!A:A,EventTypes!C:C,"")</f>
        <v>EB</v>
      </c>
      <c r="G7">
        <f>_xlfn.XLOOKUP(C7,EventTypes!A:A,EventTypes!E:E,"")</f>
        <v>1</v>
      </c>
      <c r="H7">
        <f>_xlfn.XLOOKUP(C7,EventTypes!A:A,EventTypes!F:F,"")</f>
        <v>2</v>
      </c>
      <c r="I7">
        <f>_xlfn.XLOOKUP(C7,EventTypes!A:A,EventTypes!G:G,"")</f>
        <v>11</v>
      </c>
      <c r="J7" t="s">
        <v>3</v>
      </c>
      <c r="K7" s="1">
        <v>0.58333333333333337</v>
      </c>
      <c r="L7" s="1">
        <v>0.75</v>
      </c>
    </row>
    <row r="8" spans="1:12" x14ac:dyDescent="0.35">
      <c r="A8">
        <v>7</v>
      </c>
      <c r="B8" t="s">
        <v>42</v>
      </c>
      <c r="C8" t="s">
        <v>39</v>
      </c>
      <c r="D8" t="str">
        <f>_xlfn.XLOOKUP(C8,EventTypes!A:A,EventTypes!B:B,"")</f>
        <v>Solo</v>
      </c>
      <c r="E8">
        <f>_xlfn.XLOOKUP(C8,EventTypes!A:A,EventTypes!D:D,"")</f>
        <v>100</v>
      </c>
      <c r="F8" t="str">
        <f>_xlfn.XLOOKUP(C8,EventTypes!A:A,EventTypes!C:C,"")</f>
        <v>KL</v>
      </c>
      <c r="G8">
        <f>_xlfn.XLOOKUP(C8,EventTypes!A:A,EventTypes!E:E,"")</f>
        <v>0</v>
      </c>
      <c r="H8">
        <f>_xlfn.XLOOKUP(C8,EventTypes!A:A,EventTypes!F:F,"")</f>
        <v>0</v>
      </c>
      <c r="I8">
        <f>_xlfn.XLOOKUP(C8,EventTypes!A:A,EventTypes!G:G,"")</f>
        <v>1</v>
      </c>
      <c r="J8" t="s">
        <v>3</v>
      </c>
      <c r="K8" s="1">
        <v>0.75</v>
      </c>
      <c r="L8" s="1">
        <v>0.91666666666666663</v>
      </c>
    </row>
    <row r="9" spans="1:12" x14ac:dyDescent="0.35">
      <c r="A9">
        <v>8</v>
      </c>
      <c r="B9" t="s">
        <v>43</v>
      </c>
      <c r="C9" t="s">
        <v>43</v>
      </c>
      <c r="D9" t="str">
        <f>_xlfn.XLOOKUP(C9,EventTypes!A:A,EventTypes!B:B,"")</f>
        <v>Solo</v>
      </c>
      <c r="E9">
        <f>_xlfn.XLOOKUP(C9,EventTypes!A:A,EventTypes!D:D,"")</f>
        <v>80</v>
      </c>
      <c r="F9" t="str">
        <f>_xlfn.XLOOKUP(C9,EventTypes!A:A,EventTypes!C:C,"")</f>
        <v>NL</v>
      </c>
      <c r="G9">
        <f>_xlfn.XLOOKUP(C9,EventTypes!A:A,EventTypes!E:E,"")</f>
        <v>0</v>
      </c>
      <c r="H9">
        <f>_xlfn.XLOOKUP(C9,EventTypes!A:A,EventTypes!F:F,"")</f>
        <v>0</v>
      </c>
      <c r="I9">
        <f>_xlfn.XLOOKUP(C9,EventTypes!A:A,EventTypes!G:G,"")</f>
        <v>1</v>
      </c>
      <c r="J9" t="s">
        <v>4</v>
      </c>
      <c r="K9" s="1">
        <v>0.66666666666666663</v>
      </c>
      <c r="L9" s="1">
        <v>0.83333333333333337</v>
      </c>
    </row>
    <row r="10" spans="1:12" x14ac:dyDescent="0.35">
      <c r="A10">
        <v>9</v>
      </c>
      <c r="B10" t="s">
        <v>103</v>
      </c>
      <c r="C10" t="s">
        <v>49</v>
      </c>
      <c r="D10" t="str">
        <f>_xlfn.XLOOKUP(C10,EventTypes!A:A,EventTypes!B:B,"")</f>
        <v>Barna</v>
      </c>
      <c r="E10">
        <f>_xlfn.XLOOKUP(C10,EventTypes!A:A,EventTypes!D:D,"")</f>
        <v>80</v>
      </c>
      <c r="F10" t="str">
        <f>_xlfn.XLOOKUP(C10,EventTypes!A:A,EventTypes!C:C,"")</f>
        <v>KL</v>
      </c>
      <c r="G10">
        <f>_xlfn.XLOOKUP(C10,EventTypes!A:A,EventTypes!E:E,"")</f>
        <v>0</v>
      </c>
      <c r="H10">
        <f>_xlfn.XLOOKUP(C10,EventTypes!A:A,EventTypes!F:F,"")</f>
        <v>1</v>
      </c>
      <c r="I10">
        <f>_xlfn.XLOOKUP(C10,EventTypes!A:A,EventTypes!G:G,"")</f>
        <v>2</v>
      </c>
      <c r="J10" t="s">
        <v>4</v>
      </c>
      <c r="K10" s="1">
        <v>0.5</v>
      </c>
      <c r="L10" s="1">
        <v>0.66666666666666663</v>
      </c>
    </row>
    <row r="11" spans="1:12" x14ac:dyDescent="0.35">
      <c r="A11">
        <v>10</v>
      </c>
      <c r="B11" t="s">
        <v>37</v>
      </c>
      <c r="C11" t="s">
        <v>37</v>
      </c>
      <c r="D11" t="str">
        <f>_xlfn.XLOOKUP(C11,EventTypes!A:A,EventTypes!B:B,"")</f>
        <v>Solo</v>
      </c>
      <c r="E11">
        <f>_xlfn.XLOOKUP(C11,EventTypes!A:A,EventTypes!D:D,"")</f>
        <v>90</v>
      </c>
      <c r="F11" t="str">
        <f>_xlfn.XLOOKUP(C11,EventTypes!A:A,EventTypes!C:C,"")</f>
        <v>BL</v>
      </c>
      <c r="G11">
        <f>_xlfn.XLOOKUP(C11,EventTypes!A:A,EventTypes!E:E,"")</f>
        <v>0</v>
      </c>
      <c r="H11">
        <f>_xlfn.XLOOKUP(C11,EventTypes!A:A,EventTypes!F:F,"")</f>
        <v>0</v>
      </c>
      <c r="I11">
        <f>_xlfn.XLOOKUP(C11,EventTypes!A:A,EventTypes!G:G,"")</f>
        <v>1</v>
      </c>
      <c r="J11" t="s">
        <v>7</v>
      </c>
      <c r="K11" s="1">
        <v>0.79166666666666663</v>
      </c>
      <c r="L11" s="1">
        <v>0.91666666666666663</v>
      </c>
    </row>
    <row r="12" spans="1:12" x14ac:dyDescent="0.35">
      <c r="A12">
        <v>11</v>
      </c>
      <c r="B12" t="s">
        <v>38</v>
      </c>
      <c r="C12" t="s">
        <v>38</v>
      </c>
      <c r="D12" t="str">
        <f>_xlfn.XLOOKUP(C12,EventTypes!A:A,EventTypes!B:B,"")</f>
        <v>Basic</v>
      </c>
      <c r="E12">
        <f>_xlfn.XLOOKUP(C12,EventTypes!A:A,EventTypes!D:D,"")</f>
        <v>50</v>
      </c>
      <c r="F12" t="str">
        <f>_xlfn.XLOOKUP(C12,EventTypes!A:A,EventTypes!C:C,"")</f>
        <v>EB</v>
      </c>
      <c r="G12">
        <f>_xlfn.XLOOKUP(C12,EventTypes!A:A,EventTypes!E:E,"")</f>
        <v>1</v>
      </c>
      <c r="H12">
        <f>_xlfn.XLOOKUP(C12,EventTypes!A:A,EventTypes!F:F,"")</f>
        <v>3</v>
      </c>
      <c r="I12">
        <f>_xlfn.XLOOKUP(C12,EventTypes!A:A,EventTypes!G:G,"")</f>
        <v>11</v>
      </c>
      <c r="J12" t="s">
        <v>8</v>
      </c>
      <c r="K12" s="1">
        <v>0.77083333333333337</v>
      </c>
      <c r="L12" s="1">
        <v>0.91666666666666663</v>
      </c>
    </row>
    <row r="13" spans="1:12" x14ac:dyDescent="0.35">
      <c r="A13">
        <v>12</v>
      </c>
      <c r="B13" t="s">
        <v>104</v>
      </c>
      <c r="C13" t="s">
        <v>44</v>
      </c>
      <c r="D13" t="str">
        <f>_xlfn.XLOOKUP(C13,EventTypes!A:A,EventTypes!B:B,"")</f>
        <v>Party</v>
      </c>
      <c r="E13">
        <f>_xlfn.XLOOKUP(C13,EventTypes!A:A,EventTypes!D:D,"")</f>
        <v>50</v>
      </c>
      <c r="F13" t="str">
        <f>_xlfn.XLOOKUP(C13,EventTypes!A:A,EventTypes!C:C,"")</f>
        <v>EB</v>
      </c>
      <c r="G13">
        <f>_xlfn.XLOOKUP(C13,EventTypes!A:A,EventTypes!E:E,"")</f>
        <v>1</v>
      </c>
      <c r="H13">
        <f>_xlfn.XLOOKUP(C13,EventTypes!A:A,EventTypes!F:F,"")</f>
        <v>6</v>
      </c>
      <c r="I13">
        <f>_xlfn.XLOOKUP(C13,EventTypes!A:A,EventTypes!G:G,"")</f>
        <v>11</v>
      </c>
      <c r="J13" t="s">
        <v>9</v>
      </c>
      <c r="K13" s="1">
        <v>0.79166666666666663</v>
      </c>
      <c r="L13" s="1">
        <v>0.95833333333333337</v>
      </c>
    </row>
    <row r="14" spans="1:12" x14ac:dyDescent="0.35">
      <c r="A14">
        <v>13</v>
      </c>
      <c r="B14" t="s">
        <v>139</v>
      </c>
      <c r="C14" t="s">
        <v>44</v>
      </c>
      <c r="D14" t="str">
        <f>_xlfn.XLOOKUP(C14,EventTypes!A:A,EventTypes!B:B,"")</f>
        <v>Party</v>
      </c>
      <c r="E14">
        <f>_xlfn.XLOOKUP(C14,EventTypes!A:A,EventTypes!D:D,"")</f>
        <v>50</v>
      </c>
      <c r="F14" t="str">
        <f>_xlfn.XLOOKUP(C14,EventTypes!A:A,EventTypes!C:C,"")</f>
        <v>EB</v>
      </c>
      <c r="G14">
        <f>_xlfn.XLOOKUP(C14,EventTypes!A:A,EventTypes!E:E,"")</f>
        <v>1</v>
      </c>
      <c r="H14">
        <f>_xlfn.XLOOKUP(C14,EventTypes!A:A,EventTypes!F:F,"")</f>
        <v>6</v>
      </c>
      <c r="I14">
        <f>_xlfn.XLOOKUP(C14,EventTypes!A:A,EventTypes!G:G,"")</f>
        <v>11</v>
      </c>
      <c r="J14" t="s">
        <v>143</v>
      </c>
      <c r="K14" s="1">
        <v>0.83333333333333337</v>
      </c>
      <c r="L14" s="1">
        <v>0</v>
      </c>
    </row>
    <row r="15" spans="1:12" x14ac:dyDescent="0.35">
      <c r="A15">
        <v>14</v>
      </c>
      <c r="B15" t="s">
        <v>42</v>
      </c>
      <c r="C15" t="s">
        <v>39</v>
      </c>
      <c r="D15" t="str">
        <f>_xlfn.XLOOKUP(C15,EventTypes!A:A,EventTypes!B:B,"")</f>
        <v>Solo</v>
      </c>
      <c r="E15">
        <f>_xlfn.XLOOKUP(C15,EventTypes!A:A,EventTypes!D:D,"")</f>
        <v>100</v>
      </c>
      <c r="F15" t="str">
        <f>_xlfn.XLOOKUP(C15,EventTypes!A:A,EventTypes!C:C,"")</f>
        <v>KL</v>
      </c>
      <c r="G15">
        <f>_xlfn.XLOOKUP(C15,EventTypes!A:A,EventTypes!E:E,"")</f>
        <v>0</v>
      </c>
      <c r="H15">
        <f>_xlfn.XLOOKUP(C15,EventTypes!A:A,EventTypes!F:F,"")</f>
        <v>0</v>
      </c>
      <c r="I15">
        <f>_xlfn.XLOOKUP(C15,EventTypes!A:A,EventTypes!G:G,"")</f>
        <v>1</v>
      </c>
      <c r="J15" t="s">
        <v>143</v>
      </c>
      <c r="K15" s="1">
        <v>0.75</v>
      </c>
      <c r="L15" s="1">
        <v>0.83333333333333337</v>
      </c>
    </row>
    <row r="16" spans="1:12" x14ac:dyDescent="0.35">
      <c r="A16">
        <v>15</v>
      </c>
      <c r="B16" t="s">
        <v>140</v>
      </c>
      <c r="C16" t="s">
        <v>45</v>
      </c>
      <c r="D16" t="str">
        <f>_xlfn.XLOOKUP(C16,EventTypes!A:A,EventTypes!B:B,"")</f>
        <v>Party</v>
      </c>
      <c r="E16">
        <f>_xlfn.XLOOKUP(C16,EventTypes!A:A,EventTypes!D:D,"")</f>
        <v>70</v>
      </c>
      <c r="F16" t="str">
        <f>_xlfn.XLOOKUP(C16,EventTypes!A:A,EventTypes!C:C,"")</f>
        <v>SB</v>
      </c>
      <c r="G16">
        <f>_xlfn.XLOOKUP(C16,EventTypes!A:A,EventTypes!E:E,"")</f>
        <v>1</v>
      </c>
      <c r="H16">
        <f>_xlfn.XLOOKUP(C16,EventTypes!A:A,EventTypes!F:F,"")</f>
        <v>2</v>
      </c>
      <c r="I16">
        <f>_xlfn.XLOOKUP(C16,EventTypes!A:A,EventTypes!G:G,"")</f>
        <v>5</v>
      </c>
      <c r="J16" t="s">
        <v>144</v>
      </c>
      <c r="K16" s="1">
        <v>0.83333333333333337</v>
      </c>
      <c r="L16" s="1">
        <v>0</v>
      </c>
    </row>
    <row r="17" spans="1:12" x14ac:dyDescent="0.35">
      <c r="A17">
        <v>16</v>
      </c>
      <c r="B17" t="s">
        <v>43</v>
      </c>
      <c r="C17" t="s">
        <v>43</v>
      </c>
      <c r="D17" t="str">
        <f>_xlfn.XLOOKUP(C17,EventTypes!A:A,EventTypes!B:B,"")</f>
        <v>Solo</v>
      </c>
      <c r="E17">
        <f>_xlfn.XLOOKUP(C17,EventTypes!A:A,EventTypes!D:D,"")</f>
        <v>80</v>
      </c>
      <c r="F17" t="str">
        <f>_xlfn.XLOOKUP(C17,EventTypes!A:A,EventTypes!C:C,"")</f>
        <v>NL</v>
      </c>
      <c r="G17">
        <f>_xlfn.XLOOKUP(C17,EventTypes!A:A,EventTypes!E:E,"")</f>
        <v>0</v>
      </c>
      <c r="H17">
        <f>_xlfn.XLOOKUP(C17,EventTypes!A:A,EventTypes!F:F,"")</f>
        <v>0</v>
      </c>
      <c r="I17">
        <f>_xlfn.XLOOKUP(C17,EventTypes!A:A,EventTypes!G:G,"")</f>
        <v>1</v>
      </c>
      <c r="J17" t="s">
        <v>144</v>
      </c>
      <c r="K17" s="1">
        <v>0.79166666666666663</v>
      </c>
      <c r="L17" s="1">
        <v>0.91666666666666663</v>
      </c>
    </row>
    <row r="18" spans="1:12" x14ac:dyDescent="0.35">
      <c r="A18">
        <v>17</v>
      </c>
      <c r="B18" t="s">
        <v>47</v>
      </c>
      <c r="C18" t="s">
        <v>47</v>
      </c>
      <c r="D18" t="str">
        <f>_xlfn.XLOOKUP(C18,EventTypes!A:A,EventTypes!B:B,"")</f>
        <v>Fatahengi</v>
      </c>
      <c r="E18">
        <f>_xlfn.XLOOKUP(C18,EventTypes!A:A,EventTypes!D:D,"")</f>
        <v>100</v>
      </c>
      <c r="F18" t="str">
        <f>_xlfn.XLOOKUP(C18,EventTypes!A:A,EventTypes!C:C,"")</f>
        <v>Fatahengi</v>
      </c>
      <c r="G18">
        <f>_xlfn.XLOOKUP(C18,EventTypes!A:A,EventTypes!E:E,"")</f>
        <v>0</v>
      </c>
      <c r="H18">
        <f>_xlfn.XLOOKUP(C18,EventTypes!A:A,EventTypes!F:F,"")</f>
        <v>0</v>
      </c>
      <c r="I18">
        <v>2</v>
      </c>
      <c r="J18" s="1" t="s">
        <v>145</v>
      </c>
      <c r="K18" s="1">
        <v>0.77083333333333337</v>
      </c>
      <c r="L18" s="1">
        <v>0.95833333333333337</v>
      </c>
    </row>
    <row r="19" spans="1:12" x14ac:dyDescent="0.35">
      <c r="A19">
        <v>18</v>
      </c>
      <c r="B19" t="s">
        <v>47</v>
      </c>
      <c r="C19" t="s">
        <v>47</v>
      </c>
      <c r="D19" t="str">
        <f>_xlfn.XLOOKUP(C19,EventTypes!A:A,EventTypes!B:B,"")</f>
        <v>Fatahengi</v>
      </c>
      <c r="E19">
        <f>_xlfn.XLOOKUP(C19,EventTypes!A:A,EventTypes!D:D,"")</f>
        <v>100</v>
      </c>
      <c r="F19" t="str">
        <f>_xlfn.XLOOKUP(C19,EventTypes!A:A,EventTypes!C:C,"")</f>
        <v>Fatahengi</v>
      </c>
      <c r="G19">
        <f>_xlfn.XLOOKUP(C19,EventTypes!A:A,EventTypes!E:E,"")</f>
        <v>0</v>
      </c>
      <c r="H19">
        <f>_xlfn.XLOOKUP(C19,EventTypes!A:A,EventTypes!F:F,"")</f>
        <v>0</v>
      </c>
      <c r="I19">
        <v>1</v>
      </c>
      <c r="J19" t="s">
        <v>146</v>
      </c>
      <c r="K19" s="1">
        <v>0.77083333333333337</v>
      </c>
      <c r="L19" s="1">
        <v>0.95833333333333337</v>
      </c>
    </row>
    <row r="20" spans="1:12" x14ac:dyDescent="0.35">
      <c r="A20">
        <v>19</v>
      </c>
      <c r="B20" t="s">
        <v>38</v>
      </c>
      <c r="C20" t="s">
        <v>38</v>
      </c>
      <c r="D20" t="str">
        <f>_xlfn.XLOOKUP(C20,EventTypes!A:A,EventTypes!B:B,"")</f>
        <v>Basic</v>
      </c>
      <c r="E20">
        <f>_xlfn.XLOOKUP(C20,EventTypes!A:A,EventTypes!D:D,"")</f>
        <v>50</v>
      </c>
      <c r="F20" t="str">
        <f>_xlfn.XLOOKUP(C20,EventTypes!A:A,EventTypes!C:C,"")</f>
        <v>EB</v>
      </c>
      <c r="G20">
        <f>_xlfn.XLOOKUP(C20,EventTypes!A:A,EventTypes!E:E,"")</f>
        <v>1</v>
      </c>
      <c r="H20">
        <f>_xlfn.XLOOKUP(C20,EventTypes!A:A,EventTypes!F:F,"")</f>
        <v>3</v>
      </c>
      <c r="I20">
        <f>_xlfn.XLOOKUP(C20,EventTypes!A:A,EventTypes!G:G,"")</f>
        <v>11</v>
      </c>
      <c r="J20" t="s">
        <v>147</v>
      </c>
      <c r="K20" s="1">
        <v>0.77083333333333337</v>
      </c>
      <c r="L20" s="1">
        <v>0.91666666666666663</v>
      </c>
    </row>
    <row r="21" spans="1:12" x14ac:dyDescent="0.35">
      <c r="A21">
        <v>20</v>
      </c>
      <c r="B21" t="s">
        <v>42</v>
      </c>
      <c r="C21" t="s">
        <v>39</v>
      </c>
      <c r="D21" t="str">
        <f>_xlfn.XLOOKUP(C21,EventTypes!A:A,EventTypes!B:B,"")</f>
        <v>Solo</v>
      </c>
      <c r="E21">
        <f>_xlfn.XLOOKUP(C21,EventTypes!A:A,EventTypes!D:D,"")</f>
        <v>100</v>
      </c>
      <c r="F21" t="str">
        <f>_xlfn.XLOOKUP(C21,EventTypes!A:A,EventTypes!C:C,"")</f>
        <v>KL</v>
      </c>
      <c r="G21">
        <f>_xlfn.XLOOKUP(C21,EventTypes!A:A,EventTypes!E:E,"")</f>
        <v>0</v>
      </c>
      <c r="H21">
        <f>_xlfn.XLOOKUP(C21,EventTypes!A:A,EventTypes!F:F,"")</f>
        <v>0</v>
      </c>
      <c r="I21">
        <f>_xlfn.XLOOKUP(C21,EventTypes!A:A,EventTypes!G:G,"")</f>
        <v>1</v>
      </c>
      <c r="J21" t="s">
        <v>148</v>
      </c>
      <c r="K21" s="1">
        <v>0.79166666666666663</v>
      </c>
      <c r="L21" s="1">
        <v>0.91666666666666663</v>
      </c>
    </row>
    <row r="22" spans="1:12" x14ac:dyDescent="0.35">
      <c r="A22">
        <v>21</v>
      </c>
      <c r="B22" t="s">
        <v>141</v>
      </c>
      <c r="C22" t="s">
        <v>44</v>
      </c>
      <c r="D22" t="str">
        <f>_xlfn.XLOOKUP(C22,EventTypes!A:A,EventTypes!B:B,"")</f>
        <v>Party</v>
      </c>
      <c r="E22">
        <f>_xlfn.XLOOKUP(C22,EventTypes!A:A,EventTypes!D:D,"")</f>
        <v>50</v>
      </c>
      <c r="F22" t="str">
        <f>_xlfn.XLOOKUP(C22,EventTypes!A:A,EventTypes!C:C,"")</f>
        <v>EB</v>
      </c>
      <c r="G22">
        <f>_xlfn.XLOOKUP(C22,EventTypes!A:A,EventTypes!E:E,"")</f>
        <v>1</v>
      </c>
      <c r="H22">
        <f>_xlfn.XLOOKUP(C22,EventTypes!A:A,EventTypes!F:F,"")</f>
        <v>6</v>
      </c>
      <c r="I22">
        <f>_xlfn.XLOOKUP(C22,EventTypes!A:A,EventTypes!G:G,"")</f>
        <v>11</v>
      </c>
      <c r="J22" t="s">
        <v>149</v>
      </c>
      <c r="K22" s="1">
        <v>0.41666666666666669</v>
      </c>
      <c r="L22" s="1">
        <v>0.58333333333333337</v>
      </c>
    </row>
    <row r="23" spans="1:12" x14ac:dyDescent="0.35">
      <c r="A23">
        <v>22</v>
      </c>
      <c r="B23" t="s">
        <v>43</v>
      </c>
      <c r="C23" t="s">
        <v>43</v>
      </c>
      <c r="D23" t="str">
        <f>_xlfn.XLOOKUP(C23,EventTypes!A:A,EventTypes!B:B,"")</f>
        <v>Solo</v>
      </c>
      <c r="E23">
        <f>_xlfn.XLOOKUP(C23,EventTypes!A:A,EventTypes!D:D,"")</f>
        <v>80</v>
      </c>
      <c r="F23" t="str">
        <f>_xlfn.XLOOKUP(C23,EventTypes!A:A,EventTypes!C:C,"")</f>
        <v>NL</v>
      </c>
      <c r="G23">
        <f>_xlfn.XLOOKUP(C23,EventTypes!A:A,EventTypes!E:E,"")</f>
        <v>0</v>
      </c>
      <c r="H23">
        <f>_xlfn.XLOOKUP(C23,EventTypes!A:A,EventTypes!F:F,"")</f>
        <v>0</v>
      </c>
      <c r="I23">
        <f>_xlfn.XLOOKUP(C23,EventTypes!A:A,EventTypes!G:G,"")</f>
        <v>1</v>
      </c>
      <c r="J23" t="s">
        <v>150</v>
      </c>
      <c r="K23" s="1">
        <v>0.5</v>
      </c>
      <c r="L23" s="1">
        <v>0.66666666666666663</v>
      </c>
    </row>
    <row r="24" spans="1:12" x14ac:dyDescent="0.35">
      <c r="A24">
        <v>23</v>
      </c>
      <c r="B24" t="s">
        <v>99</v>
      </c>
      <c r="C24" t="s">
        <v>33</v>
      </c>
      <c r="D24" t="str">
        <f>_xlfn.XLOOKUP(C24,EventTypes!A:A,EventTypes!B:B,"")</f>
        <v>Basic</v>
      </c>
      <c r="E24">
        <f>_xlfn.XLOOKUP(C24,EventTypes!A:A,EventTypes!D:D,"")</f>
        <v>40</v>
      </c>
      <c r="F24" t="str">
        <f>_xlfn.XLOOKUP(C24,EventTypes!A:A,EventTypes!C:C,"")</f>
        <v>KL</v>
      </c>
      <c r="G24">
        <f>_xlfn.XLOOKUP(C24,EventTypes!A:A,EventTypes!E:E,"")</f>
        <v>0</v>
      </c>
      <c r="H24">
        <f>_xlfn.XLOOKUP(C24,EventTypes!A:A,EventTypes!F:F,"")</f>
        <v>1</v>
      </c>
      <c r="I24">
        <f>_xlfn.XLOOKUP(C24,EventTypes!A:A,EventTypes!G:G,"")</f>
        <v>2</v>
      </c>
      <c r="J24" s="3" t="s">
        <v>150</v>
      </c>
      <c r="K24" s="1">
        <v>0.83333333333333337</v>
      </c>
      <c r="L24" s="1">
        <v>0.95833333333333337</v>
      </c>
    </row>
    <row r="25" spans="1:12" x14ac:dyDescent="0.35">
      <c r="A25">
        <v>24</v>
      </c>
      <c r="B25" t="s">
        <v>101</v>
      </c>
      <c r="C25" t="s">
        <v>48</v>
      </c>
      <c r="D25" t="str">
        <f>_xlfn.XLOOKUP(C25,EventTypes!A:A,EventTypes!B:B,"")</f>
        <v>Barna</v>
      </c>
      <c r="E25">
        <f>_xlfn.XLOOKUP(C25,EventTypes!A:A,EventTypes!D:D,"")</f>
        <v>70</v>
      </c>
      <c r="F25" t="str">
        <f>_xlfn.XLOOKUP(C25,EventTypes!A:A,EventTypes!C:C,"")</f>
        <v>EB</v>
      </c>
      <c r="G25">
        <f>_xlfn.XLOOKUP(C25,EventTypes!A:A,EventTypes!E:E,"")</f>
        <v>1</v>
      </c>
      <c r="H25">
        <f>_xlfn.XLOOKUP(C25,EventTypes!A:A,EventTypes!F:F,"")</f>
        <v>2</v>
      </c>
      <c r="I25">
        <f>_xlfn.XLOOKUP(C25,EventTypes!A:A,EventTypes!G:G,"")</f>
        <v>11</v>
      </c>
      <c r="J25" t="s">
        <v>151</v>
      </c>
      <c r="K25" s="1">
        <v>0.75</v>
      </c>
      <c r="L25" s="1">
        <v>0.875</v>
      </c>
    </row>
    <row r="26" spans="1:12" x14ac:dyDescent="0.35">
      <c r="A26">
        <v>25</v>
      </c>
      <c r="B26" t="s">
        <v>37</v>
      </c>
      <c r="C26" t="s">
        <v>37</v>
      </c>
      <c r="D26" t="str">
        <f>_xlfn.XLOOKUP(C26,EventTypes!A:A,EventTypes!B:B,"")</f>
        <v>Solo</v>
      </c>
      <c r="E26">
        <f>_xlfn.XLOOKUP(C26,EventTypes!A:A,EventTypes!D:D,"")</f>
        <v>90</v>
      </c>
      <c r="F26" t="str">
        <f>_xlfn.XLOOKUP(C26,EventTypes!A:A,EventTypes!C:C,"")</f>
        <v>BL</v>
      </c>
      <c r="G26">
        <f>_xlfn.XLOOKUP(C26,EventTypes!A:A,EventTypes!E:E,"")</f>
        <v>0</v>
      </c>
      <c r="H26">
        <f>_xlfn.XLOOKUP(C26,EventTypes!A:A,EventTypes!F:F,"")</f>
        <v>0</v>
      </c>
      <c r="I26">
        <f>_xlfn.XLOOKUP(C26,EventTypes!A:A,EventTypes!G:G,"")</f>
        <v>1</v>
      </c>
      <c r="J26" t="s">
        <v>152</v>
      </c>
      <c r="K26" s="1">
        <v>0.79166666666666663</v>
      </c>
      <c r="L26" s="1">
        <v>0.91666666666666663</v>
      </c>
    </row>
    <row r="27" spans="1:12" x14ac:dyDescent="0.35">
      <c r="A27">
        <v>26</v>
      </c>
      <c r="B27" t="s">
        <v>47</v>
      </c>
      <c r="C27" t="s">
        <v>47</v>
      </c>
      <c r="D27" t="str">
        <f>_xlfn.XLOOKUP(C27,EventTypes!A:A,EventTypes!B:B,"")</f>
        <v>Fatahengi</v>
      </c>
      <c r="E27">
        <f>_xlfn.XLOOKUP(C27,EventTypes!A:A,EventTypes!D:D,"")</f>
        <v>100</v>
      </c>
      <c r="F27" t="str">
        <f>_xlfn.XLOOKUP(C27,EventTypes!A:A,EventTypes!C:C,"")</f>
        <v>Fatahengi</v>
      </c>
      <c r="G27">
        <f>_xlfn.XLOOKUP(C27,EventTypes!A:A,EventTypes!E:E,"")</f>
        <v>0</v>
      </c>
      <c r="H27">
        <f>_xlfn.XLOOKUP(C27,EventTypes!A:A,EventTypes!F:F,"")</f>
        <v>0</v>
      </c>
      <c r="I27">
        <v>3</v>
      </c>
      <c r="J27" t="s">
        <v>153</v>
      </c>
      <c r="K27" s="1">
        <v>0.83333333333333337</v>
      </c>
      <c r="L27" s="4">
        <v>0</v>
      </c>
    </row>
    <row r="28" spans="1:12" x14ac:dyDescent="0.35">
      <c r="A28">
        <v>27</v>
      </c>
      <c r="B28" t="s">
        <v>142</v>
      </c>
      <c r="C28" t="s">
        <v>48</v>
      </c>
      <c r="D28" t="str">
        <f>_xlfn.XLOOKUP(C28,EventTypes!A:A,EventTypes!B:B,"")</f>
        <v>Barna</v>
      </c>
      <c r="E28">
        <f>_xlfn.XLOOKUP(C28,EventTypes!A:A,EventTypes!D:D,"")</f>
        <v>70</v>
      </c>
      <c r="F28" t="str">
        <f>_xlfn.XLOOKUP(C28,EventTypes!A:A,EventTypes!C:C,"")</f>
        <v>EB</v>
      </c>
      <c r="G28">
        <f>_xlfn.XLOOKUP(C28,EventTypes!A:A,EventTypes!E:E,"")</f>
        <v>1</v>
      </c>
      <c r="H28">
        <f>_xlfn.XLOOKUP(C28,EventTypes!A:A,EventTypes!F:F,"")</f>
        <v>2</v>
      </c>
      <c r="I28">
        <f>_xlfn.XLOOKUP(C28,EventTypes!A:A,EventTypes!G:G,"")</f>
        <v>11</v>
      </c>
      <c r="J28" t="s">
        <v>154</v>
      </c>
      <c r="K28" s="1">
        <v>0.5</v>
      </c>
      <c r="L28" s="1">
        <v>0.66666666666666663</v>
      </c>
    </row>
    <row r="29" spans="1:12" x14ac:dyDescent="0.35">
      <c r="A29">
        <v>28</v>
      </c>
      <c r="B29" t="s">
        <v>101</v>
      </c>
      <c r="C29" t="s">
        <v>48</v>
      </c>
      <c r="D29" t="str">
        <f>_xlfn.XLOOKUP(C29,EventTypes!A:A,EventTypes!B:B,"")</f>
        <v>Barna</v>
      </c>
      <c r="E29">
        <f>_xlfn.XLOOKUP(C29,EventTypes!A:A,EventTypes!D:D,"")</f>
        <v>70</v>
      </c>
      <c r="F29" t="str">
        <f>_xlfn.XLOOKUP(C29,EventTypes!A:A,EventTypes!C:C,"")</f>
        <v>EB</v>
      </c>
      <c r="G29">
        <f>_xlfn.XLOOKUP(C29,EventTypes!A:A,EventTypes!E:E,"")</f>
        <v>1</v>
      </c>
      <c r="H29">
        <f>_xlfn.XLOOKUP(C29,EventTypes!A:A,EventTypes!F:F,"")</f>
        <v>2</v>
      </c>
      <c r="I29">
        <f>_xlfn.XLOOKUP(C29,EventTypes!A:A,EventTypes!G:G,"")</f>
        <v>11</v>
      </c>
      <c r="J29" t="s">
        <v>155</v>
      </c>
      <c r="K29" s="1">
        <v>0.5</v>
      </c>
      <c r="L29" s="1">
        <v>0.58333333333333337</v>
      </c>
    </row>
    <row r="30" spans="1:12" x14ac:dyDescent="0.35">
      <c r="A30">
        <v>29</v>
      </c>
      <c r="B30" t="s">
        <v>37</v>
      </c>
      <c r="C30" t="s">
        <v>37</v>
      </c>
      <c r="D30" t="str">
        <f>_xlfn.XLOOKUP(C30,EventTypes!A:A,EventTypes!B:B,"")</f>
        <v>Solo</v>
      </c>
      <c r="E30">
        <f>_xlfn.XLOOKUP(C30,EventTypes!A:A,EventTypes!D:D,"")</f>
        <v>90</v>
      </c>
      <c r="F30" t="str">
        <f>_xlfn.XLOOKUP(C30,EventTypes!A:A,EventTypes!C:C,"")</f>
        <v>BL</v>
      </c>
      <c r="G30">
        <f>_xlfn.XLOOKUP(C30,EventTypes!A:A,EventTypes!E:E,"")</f>
        <v>0</v>
      </c>
      <c r="H30">
        <f>_xlfn.XLOOKUP(C30,EventTypes!A:A,EventTypes!F:F,"")</f>
        <v>0</v>
      </c>
      <c r="I30">
        <f>_xlfn.XLOOKUP(C30,EventTypes!A:A,EventTypes!G:G,"")</f>
        <v>1</v>
      </c>
      <c r="J30" t="s">
        <v>156</v>
      </c>
      <c r="K30" s="1">
        <v>0.79166666666666663</v>
      </c>
      <c r="L30" s="1">
        <v>0.91666666666666663</v>
      </c>
    </row>
    <row r="31" spans="1:12" x14ac:dyDescent="0.35">
      <c r="A31">
        <v>30</v>
      </c>
      <c r="B31" t="s">
        <v>47</v>
      </c>
      <c r="C31" t="s">
        <v>47</v>
      </c>
      <c r="D31" t="str">
        <f>_xlfn.XLOOKUP(C31,EventTypes!A:A,EventTypes!B:B,"")</f>
        <v>Fatahengi</v>
      </c>
      <c r="E31">
        <f>_xlfn.XLOOKUP(C31,EventTypes!A:A,EventTypes!D:D,"")</f>
        <v>100</v>
      </c>
      <c r="F31" t="str">
        <f>_xlfn.XLOOKUP(C31,EventTypes!A:A,EventTypes!C:C,"")</f>
        <v>Fatahengi</v>
      </c>
      <c r="G31">
        <f>_xlfn.XLOOKUP(C31,EventTypes!A:A,EventTypes!E:E,"")</f>
        <v>0</v>
      </c>
      <c r="H31">
        <f>_xlfn.XLOOKUP(C31,EventTypes!A:A,EventTypes!F:F,"")</f>
        <v>0</v>
      </c>
      <c r="I31">
        <v>2</v>
      </c>
      <c r="J31" t="s">
        <v>157</v>
      </c>
      <c r="K31" s="1">
        <v>0.75</v>
      </c>
      <c r="L31" s="1">
        <v>0.91666666666666663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1EDD61-16E7-4C4E-836A-ED6F00AC7EA6}">
          <x14:formula1>
            <xm:f>EventTypes!$A$2:$A$16</xm:f>
          </x14:formula1>
          <xm:sqref>C2:C31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7962-E1C3-4454-B671-E05683B75313}">
  <dimension ref="A1:C33"/>
  <sheetViews>
    <sheetView topLeftCell="A9" zoomScale="74" workbookViewId="0">
      <selection activeCell="C18" sqref="C18"/>
    </sheetView>
  </sheetViews>
  <sheetFormatPr defaultRowHeight="14.5" x14ac:dyDescent="0.35"/>
  <cols>
    <col min="1" max="1" width="11.81640625" bestFit="1" customWidth="1"/>
    <col min="2" max="2" width="14" bestFit="1" customWidth="1"/>
    <col min="3" max="3" width="7.08984375" bestFit="1" customWidth="1"/>
  </cols>
  <sheetData>
    <row r="1" spans="1:3" x14ac:dyDescent="0.35">
      <c r="A1" s="2" t="s">
        <v>105</v>
      </c>
      <c r="B1" s="2" t="s">
        <v>106</v>
      </c>
      <c r="C1" s="2" t="s">
        <v>93</v>
      </c>
    </row>
    <row r="2" spans="1:3" x14ac:dyDescent="0.35">
      <c r="A2">
        <v>1</v>
      </c>
      <c r="B2" t="s">
        <v>128</v>
      </c>
      <c r="C2">
        <v>3</v>
      </c>
    </row>
    <row r="3" spans="1:3" x14ac:dyDescent="0.35">
      <c r="A3">
        <v>2</v>
      </c>
      <c r="B3" t="s">
        <v>137</v>
      </c>
      <c r="C3">
        <v>3</v>
      </c>
    </row>
    <row r="4" spans="1:3" x14ac:dyDescent="0.35">
      <c r="A4">
        <v>3</v>
      </c>
      <c r="B4" t="s">
        <v>131</v>
      </c>
      <c r="C4">
        <v>3</v>
      </c>
    </row>
    <row r="5" spans="1:3" x14ac:dyDescent="0.35">
      <c r="A5">
        <v>4</v>
      </c>
      <c r="B5" t="s">
        <v>126</v>
      </c>
      <c r="C5">
        <v>3</v>
      </c>
    </row>
    <row r="6" spans="1:3" x14ac:dyDescent="0.35">
      <c r="A6">
        <v>5</v>
      </c>
      <c r="B6" t="s">
        <v>124</v>
      </c>
      <c r="C6">
        <v>2</v>
      </c>
    </row>
    <row r="7" spans="1:3" x14ac:dyDescent="0.35">
      <c r="A7">
        <v>6</v>
      </c>
      <c r="B7" t="s">
        <v>127</v>
      </c>
      <c r="C7">
        <v>2</v>
      </c>
    </row>
    <row r="8" spans="1:3" x14ac:dyDescent="0.35">
      <c r="A8">
        <v>7</v>
      </c>
      <c r="B8" t="s">
        <v>135</v>
      </c>
      <c r="C8">
        <v>2</v>
      </c>
    </row>
    <row r="9" spans="1:3" x14ac:dyDescent="0.35">
      <c r="A9">
        <v>8</v>
      </c>
      <c r="B9" t="s">
        <v>129</v>
      </c>
      <c r="C9">
        <v>2</v>
      </c>
    </row>
    <row r="10" spans="1:3" x14ac:dyDescent="0.35">
      <c r="A10">
        <v>9</v>
      </c>
      <c r="B10" t="s">
        <v>112</v>
      </c>
      <c r="C10">
        <v>2</v>
      </c>
    </row>
    <row r="11" spans="1:3" x14ac:dyDescent="0.35">
      <c r="A11">
        <v>10</v>
      </c>
      <c r="B11" t="s">
        <v>138</v>
      </c>
      <c r="C11">
        <v>2</v>
      </c>
    </row>
    <row r="12" spans="1:3" x14ac:dyDescent="0.35">
      <c r="A12">
        <v>11</v>
      </c>
      <c r="B12" t="s">
        <v>121</v>
      </c>
      <c r="C12">
        <v>2</v>
      </c>
    </row>
    <row r="13" spans="1:3" x14ac:dyDescent="0.35">
      <c r="A13">
        <v>12</v>
      </c>
      <c r="B13" t="s">
        <v>118</v>
      </c>
      <c r="C13">
        <v>1</v>
      </c>
    </row>
    <row r="14" spans="1:3" x14ac:dyDescent="0.35">
      <c r="A14">
        <v>13</v>
      </c>
      <c r="B14" t="s">
        <v>111</v>
      </c>
      <c r="C14">
        <v>2</v>
      </c>
    </row>
    <row r="15" spans="1:3" x14ac:dyDescent="0.35">
      <c r="A15">
        <v>14</v>
      </c>
      <c r="B15" t="s">
        <v>123</v>
      </c>
      <c r="C15">
        <v>2</v>
      </c>
    </row>
    <row r="16" spans="1:3" x14ac:dyDescent="0.35">
      <c r="A16">
        <v>15</v>
      </c>
      <c r="B16" t="s">
        <v>110</v>
      </c>
      <c r="C16">
        <v>2</v>
      </c>
    </row>
    <row r="17" spans="1:3" x14ac:dyDescent="0.35">
      <c r="A17">
        <v>16</v>
      </c>
      <c r="B17" t="s">
        <v>136</v>
      </c>
      <c r="C17">
        <v>2</v>
      </c>
    </row>
    <row r="18" spans="1:3" x14ac:dyDescent="0.35">
      <c r="A18">
        <v>17</v>
      </c>
      <c r="B18" t="s">
        <v>133</v>
      </c>
      <c r="C18">
        <v>2</v>
      </c>
    </row>
    <row r="19" spans="1:3" x14ac:dyDescent="0.35">
      <c r="A19">
        <v>18</v>
      </c>
      <c r="B19" t="s">
        <v>134</v>
      </c>
      <c r="C19">
        <v>1</v>
      </c>
    </row>
    <row r="20" spans="1:3" x14ac:dyDescent="0.35">
      <c r="A20">
        <v>19</v>
      </c>
      <c r="B20" t="s">
        <v>132</v>
      </c>
      <c r="C20">
        <v>1</v>
      </c>
    </row>
    <row r="21" spans="1:3" x14ac:dyDescent="0.35">
      <c r="A21">
        <v>20</v>
      </c>
      <c r="B21" t="s">
        <v>119</v>
      </c>
      <c r="C21">
        <v>2</v>
      </c>
    </row>
    <row r="22" spans="1:3" x14ac:dyDescent="0.35">
      <c r="A22">
        <v>21</v>
      </c>
      <c r="B22" t="s">
        <v>115</v>
      </c>
      <c r="C22">
        <v>2</v>
      </c>
    </row>
    <row r="23" spans="1:3" x14ac:dyDescent="0.35">
      <c r="A23">
        <v>22</v>
      </c>
      <c r="B23" t="s">
        <v>114</v>
      </c>
      <c r="C23">
        <v>1</v>
      </c>
    </row>
    <row r="24" spans="1:3" x14ac:dyDescent="0.35">
      <c r="A24">
        <v>23</v>
      </c>
      <c r="B24" t="s">
        <v>117</v>
      </c>
      <c r="C24">
        <v>2</v>
      </c>
    </row>
    <row r="25" spans="1:3" x14ac:dyDescent="0.35">
      <c r="A25">
        <v>24</v>
      </c>
      <c r="B25" t="s">
        <v>130</v>
      </c>
      <c r="C25">
        <v>2</v>
      </c>
    </row>
    <row r="26" spans="1:3" x14ac:dyDescent="0.35">
      <c r="A26">
        <v>25</v>
      </c>
      <c r="B26" t="s">
        <v>116</v>
      </c>
      <c r="C26">
        <v>2</v>
      </c>
    </row>
    <row r="27" spans="1:3" x14ac:dyDescent="0.35">
      <c r="A27">
        <v>26</v>
      </c>
      <c r="B27" t="s">
        <v>125</v>
      </c>
      <c r="C27">
        <v>1</v>
      </c>
    </row>
    <row r="28" spans="1:3" x14ac:dyDescent="0.35">
      <c r="A28">
        <v>27</v>
      </c>
      <c r="B28" t="s">
        <v>109</v>
      </c>
      <c r="C28">
        <v>1</v>
      </c>
    </row>
    <row r="29" spans="1:3" x14ac:dyDescent="0.35">
      <c r="A29">
        <v>28</v>
      </c>
      <c r="B29" t="s">
        <v>120</v>
      </c>
      <c r="C29">
        <v>1</v>
      </c>
    </row>
    <row r="30" spans="1:3" x14ac:dyDescent="0.35">
      <c r="A30">
        <v>29</v>
      </c>
      <c r="B30" t="s">
        <v>122</v>
      </c>
      <c r="C30">
        <v>1</v>
      </c>
    </row>
    <row r="31" spans="1:3" x14ac:dyDescent="0.35">
      <c r="A31">
        <v>30</v>
      </c>
      <c r="B31" t="s">
        <v>107</v>
      </c>
      <c r="C31">
        <v>1</v>
      </c>
    </row>
    <row r="32" spans="1:3" x14ac:dyDescent="0.35">
      <c r="A32">
        <v>31</v>
      </c>
      <c r="B32" t="s">
        <v>108</v>
      </c>
      <c r="C32">
        <v>2</v>
      </c>
    </row>
    <row r="33" spans="1:3" x14ac:dyDescent="0.35">
      <c r="A33">
        <v>32</v>
      </c>
      <c r="B33" t="s">
        <v>113</v>
      </c>
      <c r="C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A21B-584F-4957-BCD6-8FFB7A80A030}">
  <dimension ref="A1:AF33"/>
  <sheetViews>
    <sheetView zoomScale="67" workbookViewId="0">
      <selection activeCell="AF3" sqref="AF3"/>
    </sheetView>
  </sheetViews>
  <sheetFormatPr defaultRowHeight="14.5" x14ac:dyDescent="0.35"/>
  <cols>
    <col min="1" max="1" width="12.08984375" bestFit="1" customWidth="1"/>
  </cols>
  <sheetData>
    <row r="1" spans="1:32" x14ac:dyDescent="0.35">
      <c r="A1" s="2" t="s">
        <v>105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21</v>
      </c>
      <c r="W1" s="5" t="s">
        <v>20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177</v>
      </c>
      <c r="AF1" s="5" t="s">
        <v>29</v>
      </c>
    </row>
    <row r="2" spans="1:32" x14ac:dyDescent="0.35">
      <c r="A2">
        <v>1</v>
      </c>
      <c r="C2">
        <v>1</v>
      </c>
      <c r="D2">
        <v>1</v>
      </c>
      <c r="E2">
        <v>1</v>
      </c>
      <c r="AF2">
        <v>1</v>
      </c>
    </row>
    <row r="3" spans="1:32" x14ac:dyDescent="0.35">
      <c r="A3">
        <v>2</v>
      </c>
      <c r="J3">
        <v>1</v>
      </c>
    </row>
    <row r="4" spans="1:32" x14ac:dyDescent="0.35">
      <c r="A4">
        <v>3</v>
      </c>
    </row>
    <row r="5" spans="1:32" x14ac:dyDescent="0.35">
      <c r="A5">
        <v>4</v>
      </c>
    </row>
    <row r="6" spans="1:32" x14ac:dyDescent="0.35">
      <c r="A6">
        <v>5</v>
      </c>
      <c r="G6">
        <v>1</v>
      </c>
      <c r="H6">
        <v>1</v>
      </c>
      <c r="N6">
        <v>1</v>
      </c>
    </row>
    <row r="7" spans="1:32" x14ac:dyDescent="0.35">
      <c r="A7">
        <v>6</v>
      </c>
    </row>
    <row r="8" spans="1:32" x14ac:dyDescent="0.35">
      <c r="A8">
        <v>7</v>
      </c>
      <c r="Q8">
        <v>1</v>
      </c>
      <c r="R8">
        <v>1</v>
      </c>
      <c r="S8">
        <v>1</v>
      </c>
      <c r="T8">
        <v>1</v>
      </c>
      <c r="U8">
        <v>1</v>
      </c>
    </row>
    <row r="9" spans="1:32" x14ac:dyDescent="0.35">
      <c r="A9">
        <v>8</v>
      </c>
    </row>
    <row r="10" spans="1:32" x14ac:dyDescent="0.35">
      <c r="A10">
        <v>9</v>
      </c>
      <c r="D10">
        <v>1</v>
      </c>
    </row>
    <row r="11" spans="1:32" x14ac:dyDescent="0.35">
      <c r="A11">
        <v>10</v>
      </c>
    </row>
    <row r="12" spans="1:32" x14ac:dyDescent="0.35">
      <c r="A12">
        <v>11</v>
      </c>
    </row>
    <row r="13" spans="1:32" x14ac:dyDescent="0.35">
      <c r="A13">
        <v>12</v>
      </c>
    </row>
    <row r="14" spans="1:32" x14ac:dyDescent="0.35">
      <c r="A14">
        <v>13</v>
      </c>
    </row>
    <row r="15" spans="1:32" x14ac:dyDescent="0.35">
      <c r="A15">
        <v>14</v>
      </c>
    </row>
    <row r="16" spans="1:32" x14ac:dyDescent="0.35">
      <c r="A16">
        <v>15</v>
      </c>
    </row>
    <row r="17" spans="1:27" x14ac:dyDescent="0.35">
      <c r="A17">
        <v>16</v>
      </c>
    </row>
    <row r="18" spans="1:27" x14ac:dyDescent="0.35">
      <c r="A18">
        <v>17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</row>
    <row r="19" spans="1:27" x14ac:dyDescent="0.35">
      <c r="A19">
        <v>18</v>
      </c>
    </row>
    <row r="20" spans="1:27" x14ac:dyDescent="0.35">
      <c r="A20">
        <v>19</v>
      </c>
    </row>
    <row r="21" spans="1:27" x14ac:dyDescent="0.35">
      <c r="A21">
        <v>20</v>
      </c>
    </row>
    <row r="22" spans="1:27" x14ac:dyDescent="0.35">
      <c r="A22">
        <v>21</v>
      </c>
    </row>
    <row r="23" spans="1:27" x14ac:dyDescent="0.35">
      <c r="A23">
        <v>22</v>
      </c>
    </row>
    <row r="24" spans="1:27" x14ac:dyDescent="0.35">
      <c r="A24">
        <v>23</v>
      </c>
      <c r="E24">
        <v>1</v>
      </c>
    </row>
    <row r="25" spans="1:27" x14ac:dyDescent="0.35">
      <c r="A25">
        <v>24</v>
      </c>
      <c r="X25">
        <v>1</v>
      </c>
      <c r="Y25">
        <v>1</v>
      </c>
      <c r="Z25">
        <v>1</v>
      </c>
      <c r="AA25">
        <v>1</v>
      </c>
    </row>
    <row r="26" spans="1:27" x14ac:dyDescent="0.35">
      <c r="A26">
        <v>25</v>
      </c>
    </row>
    <row r="27" spans="1:27" x14ac:dyDescent="0.35">
      <c r="A27">
        <v>26</v>
      </c>
    </row>
    <row r="28" spans="1:27" x14ac:dyDescent="0.35">
      <c r="A28">
        <v>27</v>
      </c>
    </row>
    <row r="29" spans="1:27" x14ac:dyDescent="0.35">
      <c r="A29">
        <v>28</v>
      </c>
    </row>
    <row r="30" spans="1:27" x14ac:dyDescent="0.35">
      <c r="A30">
        <v>29</v>
      </c>
      <c r="H30">
        <v>1</v>
      </c>
      <c r="I30">
        <v>1</v>
      </c>
      <c r="J30">
        <v>1</v>
      </c>
    </row>
    <row r="31" spans="1:27" x14ac:dyDescent="0.35">
      <c r="A31">
        <v>30</v>
      </c>
    </row>
    <row r="32" spans="1:27" x14ac:dyDescent="0.35">
      <c r="A32">
        <v>31</v>
      </c>
    </row>
    <row r="33" spans="1:1" x14ac:dyDescent="0.35">
      <c r="A33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9287-6D87-488B-B523-72276289E9B7}">
  <dimension ref="A1:AH31"/>
  <sheetViews>
    <sheetView zoomScale="69" workbookViewId="0">
      <selection activeCell="I28" sqref="I28"/>
    </sheetView>
  </sheetViews>
  <sheetFormatPr defaultRowHeight="14.5" x14ac:dyDescent="0.35"/>
  <cols>
    <col min="1" max="1" width="12.1796875" bestFit="1" customWidth="1"/>
    <col min="2" max="2" width="11.08984375" bestFit="1" customWidth="1"/>
  </cols>
  <sheetData>
    <row r="1" spans="1:34" s="2" customFormat="1" x14ac:dyDescent="0.35">
      <c r="A1" s="2" t="str">
        <f>Events!B1</f>
        <v>Event</v>
      </c>
      <c r="B1" s="2" t="str">
        <f>Events!J1</f>
        <v>Date</v>
      </c>
      <c r="C1" s="2" t="str">
        <f>Employees!B2</f>
        <v>Ásdís</v>
      </c>
      <c r="D1" s="2" t="str">
        <f>Employees!B3</f>
        <v>Helgi</v>
      </c>
      <c r="E1" s="2" t="str">
        <f>Employees!B4</f>
        <v>Össur</v>
      </c>
      <c r="F1" s="2" t="str">
        <f>Employees!B5</f>
        <v>Thelma</v>
      </c>
      <c r="G1" s="2" t="str">
        <f>Employees!B6</f>
        <v>Pétur</v>
      </c>
      <c r="H1" s="2" t="str">
        <f>Employees!B7</f>
        <v>Unnur</v>
      </c>
      <c r="I1" s="2" t="str">
        <f>Employees!B8</f>
        <v>Harpa</v>
      </c>
      <c r="J1" s="2" t="str">
        <f>Employees!B9</f>
        <v>Vala</v>
      </c>
      <c r="K1" s="2" t="str">
        <f>Employees!B10</f>
        <v>Freyja</v>
      </c>
      <c r="L1" s="2" t="str">
        <f>Employees!B11</f>
        <v>Björk</v>
      </c>
      <c r="M1" s="2" t="str">
        <f>Employees!B12</f>
        <v>Oliver</v>
      </c>
      <c r="N1" s="2" t="str">
        <f>Employees!B13</f>
        <v>Lísa</v>
      </c>
      <c r="O1" s="2" t="str">
        <f>Employees!B14</f>
        <v>Erla</v>
      </c>
      <c r="P1" s="2" t="str">
        <f>Employees!B15</f>
        <v>Rakel</v>
      </c>
      <c r="Q1" s="2" t="str">
        <f>Employees!B16</f>
        <v>Davíð</v>
      </c>
      <c r="R1" s="2" t="str">
        <f>Employees!B17</f>
        <v>Laufey</v>
      </c>
      <c r="S1" s="2" t="str">
        <f>Employees!B18</f>
        <v>Aron</v>
      </c>
      <c r="T1" s="2" t="str">
        <f>Employees!B19</f>
        <v>Sara</v>
      </c>
      <c r="U1" s="2" t="str">
        <f>Employees!B20</f>
        <v>Úlfur</v>
      </c>
      <c r="V1" s="2" t="str">
        <f>Employees!B21</f>
        <v>Máni</v>
      </c>
      <c r="W1" s="2" t="str">
        <f>Employees!B22</f>
        <v>Inga</v>
      </c>
      <c r="X1" s="2" t="str">
        <f>Employees!B23</f>
        <v>Helena</v>
      </c>
      <c r="Y1" s="2" t="str">
        <f>Employees!B24</f>
        <v>Kata</v>
      </c>
      <c r="Z1" s="2" t="str">
        <f>Employees!B25</f>
        <v>Ylfa</v>
      </c>
      <c r="AA1" s="2" t="str">
        <f>Employees!B26</f>
        <v>Jóna</v>
      </c>
      <c r="AB1" s="2" t="str">
        <f>Employees!B27</f>
        <v>Silja</v>
      </c>
      <c r="AC1" s="2" t="str">
        <f>Employees!B28</f>
        <v>Camilla</v>
      </c>
      <c r="AD1" s="2" t="str">
        <f>Employees!B29</f>
        <v>Nanna</v>
      </c>
      <c r="AE1" s="2" t="str">
        <f>Employees!B30</f>
        <v>Ólafur</v>
      </c>
      <c r="AF1" s="2" t="str">
        <f>Employees!B31</f>
        <v>Anna</v>
      </c>
      <c r="AG1" s="2" t="str">
        <f>Employees!B32</f>
        <v>Bergur</v>
      </c>
      <c r="AH1" s="2" t="str">
        <f>Employees!B33</f>
        <v>Gunnar</v>
      </c>
    </row>
    <row r="2" spans="1:34" x14ac:dyDescent="0.35">
      <c r="A2" t="str">
        <f>Events!B2</f>
        <v>Upprás</v>
      </c>
      <c r="B2" t="str">
        <f>Events!J2</f>
        <v>1.5.2024</v>
      </c>
    </row>
    <row r="3" spans="1:34" x14ac:dyDescent="0.35">
      <c r="A3" t="str">
        <f>Events!B3</f>
        <v xml:space="preserve">How to </v>
      </c>
      <c r="B3" t="str">
        <f>Events!J3</f>
        <v>1.5.2024</v>
      </c>
      <c r="C3" t="s">
        <v>175</v>
      </c>
      <c r="D3" t="s">
        <v>175</v>
      </c>
      <c r="E3" t="s">
        <v>175</v>
      </c>
      <c r="F3" t="s">
        <v>175</v>
      </c>
      <c r="G3" t="s">
        <v>175</v>
      </c>
      <c r="H3" t="s">
        <v>175</v>
      </c>
      <c r="I3" t="s">
        <v>175</v>
      </c>
      <c r="J3" t="s">
        <v>175</v>
      </c>
      <c r="K3" t="s">
        <v>175</v>
      </c>
      <c r="L3" t="s">
        <v>175</v>
      </c>
      <c r="M3" t="s">
        <v>175</v>
      </c>
      <c r="N3" t="s">
        <v>175</v>
      </c>
      <c r="O3" t="s">
        <v>175</v>
      </c>
      <c r="P3" t="s">
        <v>175</v>
      </c>
      <c r="Q3" t="s">
        <v>175</v>
      </c>
      <c r="R3" t="s">
        <v>175</v>
      </c>
      <c r="S3" t="s">
        <v>175</v>
      </c>
      <c r="T3" t="s">
        <v>175</v>
      </c>
      <c r="U3" t="s">
        <v>175</v>
      </c>
      <c r="V3" t="s">
        <v>175</v>
      </c>
      <c r="W3" t="s">
        <v>175</v>
      </c>
      <c r="X3" t="s">
        <v>175</v>
      </c>
      <c r="Y3" t="s">
        <v>175</v>
      </c>
      <c r="Z3" t="s">
        <v>175</v>
      </c>
      <c r="AA3" t="s">
        <v>175</v>
      </c>
      <c r="AB3" t="s">
        <v>175</v>
      </c>
      <c r="AC3" t="s">
        <v>175</v>
      </c>
      <c r="AD3" t="s">
        <v>175</v>
      </c>
      <c r="AE3" t="s">
        <v>175</v>
      </c>
      <c r="AF3" t="s">
        <v>175</v>
      </c>
      <c r="AG3" t="s">
        <v>175</v>
      </c>
      <c r="AH3" t="s">
        <v>175</v>
      </c>
    </row>
    <row r="4" spans="1:34" x14ac:dyDescent="0.35">
      <c r="A4" t="str">
        <f>Events!B4</f>
        <v>MúsikTilraunir</v>
      </c>
      <c r="B4" t="str">
        <f>Events!J4</f>
        <v>1.5.2024</v>
      </c>
    </row>
    <row r="5" spans="1:34" x14ac:dyDescent="0.35">
      <c r="A5" t="str">
        <f>Events!B5</f>
        <v>MúsikTilraunir</v>
      </c>
      <c r="B5" t="str">
        <f>Events!J5</f>
        <v>2.5.2024</v>
      </c>
    </row>
    <row r="6" spans="1:34" x14ac:dyDescent="0.35">
      <c r="A6" t="str">
        <f>Events!B6</f>
        <v>MúsikTilraunir</v>
      </c>
      <c r="B6" t="str">
        <f>Events!J6</f>
        <v>3.5.2024</v>
      </c>
      <c r="C6" t="s">
        <v>175</v>
      </c>
    </row>
    <row r="7" spans="1:34" x14ac:dyDescent="0.35">
      <c r="A7" t="str">
        <f>Events!B7</f>
        <v>Krakka Sinfó</v>
      </c>
      <c r="B7" t="str">
        <f>Events!J7</f>
        <v>4.5.2024</v>
      </c>
    </row>
    <row r="8" spans="1:34" x14ac:dyDescent="0.35">
      <c r="A8" t="str">
        <f>Events!B8</f>
        <v xml:space="preserve">How to </v>
      </c>
      <c r="B8" t="str">
        <f>Events!J8</f>
        <v>4.5.2024</v>
      </c>
      <c r="L8" t="s">
        <v>175</v>
      </c>
    </row>
    <row r="9" spans="1:34" x14ac:dyDescent="0.35">
      <c r="A9" t="str">
        <f>Events!B9</f>
        <v>Sígildir</v>
      </c>
      <c r="B9" t="str">
        <f>Events!J9</f>
        <v>5.5.2024</v>
      </c>
      <c r="D9" t="s">
        <v>175</v>
      </c>
      <c r="M9" t="s">
        <v>175</v>
      </c>
    </row>
    <row r="10" spans="1:34" x14ac:dyDescent="0.35">
      <c r="A10" t="str">
        <f>Events!B10</f>
        <v>K&amp;B</v>
      </c>
      <c r="B10" t="str">
        <f>Events!J10</f>
        <v>5.5.2024</v>
      </c>
    </row>
    <row r="11" spans="1:34" x14ac:dyDescent="0.35">
      <c r="A11" t="str">
        <f>Events!B11</f>
        <v>Múlinn</v>
      </c>
      <c r="B11" t="str">
        <f>Events!J11</f>
        <v>8.5.2024</v>
      </c>
      <c r="C11" t="s">
        <v>175</v>
      </c>
    </row>
    <row r="12" spans="1:34" x14ac:dyDescent="0.35">
      <c r="A12" t="str">
        <f>Events!B12</f>
        <v>Sinfó</v>
      </c>
      <c r="B12" t="str">
        <f>Events!J12</f>
        <v>9.5.2024</v>
      </c>
    </row>
    <row r="13" spans="1:34" x14ac:dyDescent="0.35">
      <c r="A13" t="str">
        <f>Events!B13</f>
        <v>ABBA</v>
      </c>
      <c r="B13" t="str">
        <f>Events!J13</f>
        <v>10.5.2024</v>
      </c>
      <c r="G13" t="s">
        <v>175</v>
      </c>
      <c r="M13" t="s">
        <v>175</v>
      </c>
    </row>
    <row r="14" spans="1:34" x14ac:dyDescent="0.35">
      <c r="A14" t="str">
        <f>Events!B14</f>
        <v>Gusgus</v>
      </c>
      <c r="B14" t="str">
        <f>Events!J14</f>
        <v>11.05.2024</v>
      </c>
      <c r="D14" t="s">
        <v>175</v>
      </c>
    </row>
    <row r="15" spans="1:34" x14ac:dyDescent="0.35">
      <c r="A15" t="str">
        <f>Events!B15</f>
        <v xml:space="preserve">How to </v>
      </c>
      <c r="B15" t="str">
        <f>Events!J15</f>
        <v>11.05.2024</v>
      </c>
    </row>
    <row r="16" spans="1:34" x14ac:dyDescent="0.35">
      <c r="A16" t="str">
        <f>Events!B16</f>
        <v>Vitringar</v>
      </c>
      <c r="B16" t="str">
        <f>Events!J16</f>
        <v>12.05.2024</v>
      </c>
      <c r="F16" t="s">
        <v>175</v>
      </c>
      <c r="I16" t="s">
        <v>175</v>
      </c>
      <c r="K16" t="s">
        <v>175</v>
      </c>
    </row>
    <row r="17" spans="1:14" x14ac:dyDescent="0.35">
      <c r="A17" t="str">
        <f>Events!B17</f>
        <v>Sígildir</v>
      </c>
      <c r="B17" t="str">
        <f>Events!J17</f>
        <v>12.05.2024</v>
      </c>
    </row>
    <row r="18" spans="1:14" x14ac:dyDescent="0.35">
      <c r="A18" t="str">
        <f>Events!B18</f>
        <v>Fatahengi</v>
      </c>
      <c r="B18" t="str">
        <f>Events!J18</f>
        <v>13.05.2024</v>
      </c>
      <c r="L18" t="s">
        <v>175</v>
      </c>
    </row>
    <row r="19" spans="1:14" x14ac:dyDescent="0.35">
      <c r="A19" t="str">
        <f>Events!B19</f>
        <v>Fatahengi</v>
      </c>
      <c r="B19" t="str">
        <f>Events!J19</f>
        <v>14.05.2024</v>
      </c>
      <c r="E19" t="s">
        <v>175</v>
      </c>
    </row>
    <row r="20" spans="1:14" x14ac:dyDescent="0.35">
      <c r="A20" t="str">
        <f>Events!B20</f>
        <v>Sinfó</v>
      </c>
      <c r="B20" t="str">
        <f>Events!J20</f>
        <v>16.05.2024</v>
      </c>
    </row>
    <row r="21" spans="1:14" x14ac:dyDescent="0.35">
      <c r="A21" t="str">
        <f>Events!B21</f>
        <v xml:space="preserve">How to </v>
      </c>
      <c r="B21" t="str">
        <f>Events!J21</f>
        <v>17.05.2024</v>
      </c>
    </row>
    <row r="22" spans="1:14" x14ac:dyDescent="0.35">
      <c r="A22" t="str">
        <f>Events!B22</f>
        <v>Abba</v>
      </c>
      <c r="B22" t="str">
        <f>Events!J22</f>
        <v>18.05.2024</v>
      </c>
      <c r="K22" t="s">
        <v>175</v>
      </c>
    </row>
    <row r="23" spans="1:14" x14ac:dyDescent="0.35">
      <c r="A23" t="str">
        <f>Events!B23</f>
        <v>Sígildir</v>
      </c>
      <c r="B23" t="str">
        <f>Events!J23</f>
        <v>19.05.2024</v>
      </c>
    </row>
    <row r="24" spans="1:14" x14ac:dyDescent="0.35">
      <c r="A24" t="str">
        <f>Events!B24</f>
        <v>Upprás</v>
      </c>
      <c r="B24" t="str">
        <f>Events!J24</f>
        <v>19.05.2024</v>
      </c>
      <c r="E24" t="s">
        <v>175</v>
      </c>
      <c r="H24" t="s">
        <v>175</v>
      </c>
    </row>
    <row r="25" spans="1:14" x14ac:dyDescent="0.35">
      <c r="A25" t="str">
        <f>Events!B25</f>
        <v>Krakka Sinfó</v>
      </c>
      <c r="B25" t="str">
        <f>Events!J25</f>
        <v>20.05.2024</v>
      </c>
      <c r="N25" t="s">
        <v>175</v>
      </c>
    </row>
    <row r="26" spans="1:14" x14ac:dyDescent="0.35">
      <c r="A26" t="str">
        <f>Events!B26</f>
        <v>Múlinn</v>
      </c>
      <c r="B26" t="str">
        <f>Events!J26</f>
        <v>23.05.2024</v>
      </c>
    </row>
    <row r="27" spans="1:14" x14ac:dyDescent="0.35">
      <c r="A27" t="str">
        <f>Events!B27</f>
        <v>Fatahengi</v>
      </c>
      <c r="B27" t="str">
        <f>Events!J27</f>
        <v>24.05.2024</v>
      </c>
      <c r="N27" t="s">
        <v>175</v>
      </c>
    </row>
    <row r="28" spans="1:14" x14ac:dyDescent="0.35">
      <c r="A28" t="str">
        <f>Events!B28</f>
        <v>Maxi</v>
      </c>
      <c r="B28" t="str">
        <f>Events!J28</f>
        <v>25.05.2024</v>
      </c>
      <c r="I28" t="s">
        <v>175</v>
      </c>
    </row>
    <row r="29" spans="1:14" x14ac:dyDescent="0.35">
      <c r="A29" t="str">
        <f>Events!B29</f>
        <v>Krakka Sinfó</v>
      </c>
      <c r="B29" t="str">
        <f>Events!J29</f>
        <v>26.05.2024</v>
      </c>
    </row>
    <row r="30" spans="1:14" x14ac:dyDescent="0.35">
      <c r="A30" t="str">
        <f>Events!B30</f>
        <v>Múlinn</v>
      </c>
      <c r="B30" t="str">
        <f>Events!J30</f>
        <v>30.05.2024</v>
      </c>
    </row>
    <row r="31" spans="1:14" x14ac:dyDescent="0.35">
      <c r="A31" t="str">
        <f>Events!B31</f>
        <v>Fatahengi</v>
      </c>
      <c r="B31" t="str">
        <f>Events!J31</f>
        <v>31.05.2024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D54E1-26EA-4C6C-A87B-6FC746D3DCD2}">
  <dimension ref="A1:E36"/>
  <sheetViews>
    <sheetView tabSelected="1" topLeftCell="A11" zoomScale="90" workbookViewId="0">
      <selection activeCell="C32" sqref="C32"/>
    </sheetView>
  </sheetViews>
  <sheetFormatPr defaultRowHeight="14.5" x14ac:dyDescent="0.35"/>
  <cols>
    <col min="1" max="1" width="18.90625" bestFit="1" customWidth="1"/>
  </cols>
  <sheetData>
    <row r="1" spans="1:5" x14ac:dyDescent="0.35">
      <c r="A1" s="2" t="s">
        <v>163</v>
      </c>
      <c r="B1" s="2" t="s">
        <v>164</v>
      </c>
      <c r="C1" s="2" t="s">
        <v>165</v>
      </c>
    </row>
    <row r="2" spans="1:5" x14ac:dyDescent="0.35">
      <c r="A2" t="s">
        <v>166</v>
      </c>
      <c r="B2">
        <v>0</v>
      </c>
      <c r="C2">
        <v>50</v>
      </c>
    </row>
    <row r="3" spans="1:5" x14ac:dyDescent="0.35">
      <c r="A3" t="s">
        <v>166</v>
      </c>
      <c r="B3">
        <v>1</v>
      </c>
      <c r="C3">
        <v>30</v>
      </c>
    </row>
    <row r="4" spans="1:5" x14ac:dyDescent="0.35">
      <c r="A4" t="s">
        <v>166</v>
      </c>
      <c r="B4">
        <v>2</v>
      </c>
      <c r="C4">
        <v>15</v>
      </c>
    </row>
    <row r="5" spans="1:5" x14ac:dyDescent="0.35">
      <c r="A5" t="s">
        <v>166</v>
      </c>
      <c r="B5">
        <v>3</v>
      </c>
      <c r="C5">
        <v>-10</v>
      </c>
    </row>
    <row r="6" spans="1:5" x14ac:dyDescent="0.35">
      <c r="A6" t="s">
        <v>166</v>
      </c>
      <c r="B6">
        <v>4</v>
      </c>
      <c r="C6">
        <v>-50</v>
      </c>
    </row>
    <row r="7" spans="1:5" x14ac:dyDescent="0.35">
      <c r="A7" t="s">
        <v>167</v>
      </c>
      <c r="B7">
        <v>0</v>
      </c>
      <c r="C7">
        <v>50</v>
      </c>
      <c r="E7" s="6"/>
    </row>
    <row r="8" spans="1:5" x14ac:dyDescent="0.35">
      <c r="A8" t="s">
        <v>167</v>
      </c>
      <c r="B8">
        <v>1</v>
      </c>
      <c r="C8">
        <v>25</v>
      </c>
    </row>
    <row r="9" spans="1:5" x14ac:dyDescent="0.35">
      <c r="A9" t="s">
        <v>167</v>
      </c>
      <c r="B9">
        <v>2</v>
      </c>
      <c r="C9">
        <v>0</v>
      </c>
    </row>
    <row r="10" spans="1:5" x14ac:dyDescent="0.35">
      <c r="A10" t="s">
        <v>167</v>
      </c>
      <c r="B10">
        <v>3</v>
      </c>
      <c r="C10">
        <v>-25</v>
      </c>
    </row>
    <row r="11" spans="1:5" x14ac:dyDescent="0.35">
      <c r="A11" t="s">
        <v>167</v>
      </c>
      <c r="B11">
        <v>4</v>
      </c>
      <c r="C11">
        <v>-50</v>
      </c>
    </row>
    <row r="12" spans="1:5" x14ac:dyDescent="0.35">
      <c r="A12" t="s">
        <v>167</v>
      </c>
      <c r="B12">
        <v>5</v>
      </c>
      <c r="C12">
        <v>-60</v>
      </c>
    </row>
    <row r="13" spans="1:5" x14ac:dyDescent="0.35">
      <c r="A13" t="s">
        <v>31</v>
      </c>
      <c r="B13">
        <v>0</v>
      </c>
      <c r="C13">
        <v>20</v>
      </c>
    </row>
    <row r="14" spans="1:5" x14ac:dyDescent="0.35">
      <c r="A14" t="s">
        <v>31</v>
      </c>
      <c r="B14">
        <v>1</v>
      </c>
      <c r="C14">
        <v>10</v>
      </c>
    </row>
    <row r="15" spans="1:5" x14ac:dyDescent="0.35">
      <c r="A15" t="s">
        <v>31</v>
      </c>
      <c r="B15">
        <v>2</v>
      </c>
      <c r="C15">
        <v>0</v>
      </c>
    </row>
    <row r="16" spans="1:5" x14ac:dyDescent="0.35">
      <c r="A16" t="s">
        <v>31</v>
      </c>
      <c r="B16">
        <v>3</v>
      </c>
      <c r="C16">
        <v>0</v>
      </c>
    </row>
    <row r="17" spans="1:3" x14ac:dyDescent="0.35">
      <c r="A17" t="s">
        <v>31</v>
      </c>
      <c r="B17">
        <v>4</v>
      </c>
      <c r="C17">
        <v>-10</v>
      </c>
    </row>
    <row r="18" spans="1:3" x14ac:dyDescent="0.35">
      <c r="A18" t="s">
        <v>31</v>
      </c>
      <c r="B18">
        <v>5</v>
      </c>
      <c r="C18">
        <v>-20</v>
      </c>
    </row>
    <row r="19" spans="1:3" x14ac:dyDescent="0.35">
      <c r="A19" t="s">
        <v>31</v>
      </c>
      <c r="B19">
        <v>5</v>
      </c>
      <c r="C19">
        <v>-20</v>
      </c>
    </row>
    <row r="20" spans="1:3" x14ac:dyDescent="0.35">
      <c r="A20" t="s">
        <v>168</v>
      </c>
      <c r="B20">
        <v>0</v>
      </c>
      <c r="C20">
        <v>10</v>
      </c>
    </row>
    <row r="21" spans="1:3" x14ac:dyDescent="0.35">
      <c r="A21" t="s">
        <v>168</v>
      </c>
      <c r="B21">
        <v>1</v>
      </c>
      <c r="C21">
        <v>-10</v>
      </c>
    </row>
    <row r="22" spans="1:3" x14ac:dyDescent="0.35">
      <c r="A22" t="s">
        <v>168</v>
      </c>
      <c r="B22">
        <v>2</v>
      </c>
      <c r="C22">
        <v>-20</v>
      </c>
    </row>
    <row r="23" spans="1:3" x14ac:dyDescent="0.35">
      <c r="A23" t="s">
        <v>168</v>
      </c>
      <c r="B23">
        <v>3</v>
      </c>
      <c r="C23">
        <v>-40</v>
      </c>
    </row>
    <row r="24" spans="1:3" x14ac:dyDescent="0.35">
      <c r="A24" t="s">
        <v>168</v>
      </c>
      <c r="B24">
        <v>4</v>
      </c>
      <c r="C24">
        <v>-80</v>
      </c>
    </row>
    <row r="25" spans="1:3" x14ac:dyDescent="0.35">
      <c r="A25" t="s">
        <v>168</v>
      </c>
      <c r="B25">
        <v>5</v>
      </c>
      <c r="C25">
        <v>-160</v>
      </c>
    </row>
    <row r="26" spans="1:3" x14ac:dyDescent="0.35">
      <c r="A26" t="s">
        <v>169</v>
      </c>
      <c r="B26">
        <v>1</v>
      </c>
      <c r="C26">
        <v>-1</v>
      </c>
    </row>
    <row r="27" spans="1:3" x14ac:dyDescent="0.35">
      <c r="A27" t="s">
        <v>169</v>
      </c>
      <c r="B27">
        <v>2</v>
      </c>
      <c r="C27">
        <f>+C26*2</f>
        <v>-2</v>
      </c>
    </row>
    <row r="28" spans="1:3" x14ac:dyDescent="0.35">
      <c r="A28" t="s">
        <v>169</v>
      </c>
      <c r="B28">
        <v>3</v>
      </c>
      <c r="C28">
        <f>+C27*2</f>
        <v>-4</v>
      </c>
    </row>
    <row r="29" spans="1:3" x14ac:dyDescent="0.35">
      <c r="A29" t="s">
        <v>169</v>
      </c>
      <c r="B29">
        <v>4</v>
      </c>
      <c r="C29">
        <f>+C28*2</f>
        <v>-8</v>
      </c>
    </row>
    <row r="30" spans="1:3" x14ac:dyDescent="0.35">
      <c r="A30" t="s">
        <v>170</v>
      </c>
      <c r="B30">
        <v>1</v>
      </c>
      <c r="C30">
        <v>-50</v>
      </c>
    </row>
    <row r="31" spans="1:3" x14ac:dyDescent="0.35">
      <c r="A31" t="s">
        <v>176</v>
      </c>
      <c r="B31">
        <v>1</v>
      </c>
      <c r="C31">
        <v>65</v>
      </c>
    </row>
    <row r="32" spans="1:3" x14ac:dyDescent="0.35">
      <c r="A32" t="s">
        <v>178</v>
      </c>
      <c r="B32">
        <v>0</v>
      </c>
      <c r="C32">
        <v>20</v>
      </c>
    </row>
    <row r="33" spans="1:3" x14ac:dyDescent="0.35">
      <c r="A33" t="s">
        <v>178</v>
      </c>
      <c r="B33">
        <v>1</v>
      </c>
      <c r="C33">
        <v>0</v>
      </c>
    </row>
    <row r="34" spans="1:3" x14ac:dyDescent="0.35">
      <c r="A34" t="s">
        <v>178</v>
      </c>
      <c r="B34">
        <v>2</v>
      </c>
      <c r="C34">
        <v>-20</v>
      </c>
    </row>
    <row r="35" spans="1:3" x14ac:dyDescent="0.35">
      <c r="A35" t="s">
        <v>178</v>
      </c>
      <c r="B35">
        <v>3</v>
      </c>
      <c r="C35">
        <v>-60</v>
      </c>
    </row>
    <row r="36" spans="1:3" x14ac:dyDescent="0.35">
      <c r="A36" t="s">
        <v>178</v>
      </c>
      <c r="B36">
        <v>4</v>
      </c>
      <c r="C36">
        <v>-100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AA9DD-5344-4AFD-8E5D-E1460669ACF9}">
  <dimension ref="A1:C10"/>
  <sheetViews>
    <sheetView zoomScale="90" workbookViewId="0">
      <selection activeCell="N9" sqref="N9"/>
    </sheetView>
  </sheetViews>
  <sheetFormatPr defaultRowHeight="14.5" x14ac:dyDescent="0.35"/>
  <cols>
    <col min="1" max="1" width="10.36328125" bestFit="1" customWidth="1"/>
    <col min="2" max="2" width="10.81640625" bestFit="1" customWidth="1"/>
    <col min="3" max="3" width="7.1796875" customWidth="1"/>
  </cols>
  <sheetData>
    <row r="1" spans="1:3" x14ac:dyDescent="0.35">
      <c r="A1" s="2" t="s">
        <v>171</v>
      </c>
      <c r="B1" s="2" t="s">
        <v>172</v>
      </c>
      <c r="C1" s="2" t="s">
        <v>165</v>
      </c>
    </row>
    <row r="2" spans="1:3" x14ac:dyDescent="0.35">
      <c r="A2">
        <v>1</v>
      </c>
      <c r="B2">
        <v>3</v>
      </c>
      <c r="C2">
        <v>-1000</v>
      </c>
    </row>
    <row r="3" spans="1:3" x14ac:dyDescent="0.35">
      <c r="A3">
        <v>1</v>
      </c>
      <c r="B3">
        <v>2</v>
      </c>
      <c r="C3">
        <v>-1000</v>
      </c>
    </row>
    <row r="4" spans="1:3" x14ac:dyDescent="0.35">
      <c r="A4">
        <v>2</v>
      </c>
      <c r="B4">
        <v>3</v>
      </c>
      <c r="C4">
        <v>-200</v>
      </c>
    </row>
    <row r="5" spans="1:3" x14ac:dyDescent="0.35">
      <c r="A5">
        <v>2</v>
      </c>
      <c r="B5">
        <v>1</v>
      </c>
      <c r="C5">
        <v>-50</v>
      </c>
    </row>
    <row r="6" spans="1:3" x14ac:dyDescent="0.35">
      <c r="A6">
        <v>3</v>
      </c>
      <c r="B6">
        <v>3</v>
      </c>
      <c r="C6">
        <v>100</v>
      </c>
    </row>
    <row r="7" spans="1:3" x14ac:dyDescent="0.35">
      <c r="A7">
        <v>2</v>
      </c>
      <c r="B7">
        <v>2</v>
      </c>
      <c r="C7">
        <v>100</v>
      </c>
    </row>
    <row r="8" spans="1:3" x14ac:dyDescent="0.35">
      <c r="A8">
        <v>1</v>
      </c>
      <c r="B8">
        <v>1</v>
      </c>
      <c r="C8">
        <v>100</v>
      </c>
    </row>
    <row r="9" spans="1:3" x14ac:dyDescent="0.35">
      <c r="A9">
        <v>3</v>
      </c>
      <c r="B9">
        <v>2</v>
      </c>
      <c r="C9">
        <v>-200</v>
      </c>
    </row>
    <row r="10" spans="1:3" x14ac:dyDescent="0.35">
      <c r="A10">
        <v>3</v>
      </c>
      <c r="B10">
        <v>1</v>
      </c>
      <c r="C10">
        <v>-200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FCF1-DD02-4616-AA4A-3FD405A6C41D}">
  <dimension ref="A1:C41"/>
  <sheetViews>
    <sheetView topLeftCell="A26" workbookViewId="0">
      <selection activeCell="B35" sqref="B35:C41"/>
    </sheetView>
  </sheetViews>
  <sheetFormatPr defaultRowHeight="14.5" x14ac:dyDescent="0.35"/>
  <cols>
    <col min="1" max="1" width="24.08984375" bestFit="1" customWidth="1"/>
    <col min="2" max="2" width="52.1796875" bestFit="1" customWidth="1"/>
  </cols>
  <sheetData>
    <row r="1" spans="1:3" x14ac:dyDescent="0.35">
      <c r="A1" s="7" t="s">
        <v>60</v>
      </c>
      <c r="B1" s="7"/>
      <c r="C1" s="7"/>
    </row>
    <row r="2" spans="1:3" x14ac:dyDescent="0.35">
      <c r="A2" t="s">
        <v>61</v>
      </c>
      <c r="B2" t="s">
        <v>62</v>
      </c>
      <c r="C2">
        <v>50</v>
      </c>
    </row>
    <row r="3" spans="1:3" x14ac:dyDescent="0.35">
      <c r="B3" t="s">
        <v>63</v>
      </c>
      <c r="C3">
        <v>30</v>
      </c>
    </row>
    <row r="4" spans="1:3" x14ac:dyDescent="0.35">
      <c r="B4" t="s">
        <v>64</v>
      </c>
      <c r="C4">
        <v>15</v>
      </c>
    </row>
    <row r="5" spans="1:3" x14ac:dyDescent="0.35">
      <c r="B5" t="s">
        <v>65</v>
      </c>
      <c r="C5">
        <v>-10</v>
      </c>
    </row>
    <row r="6" spans="1:3" x14ac:dyDescent="0.35">
      <c r="B6" t="s">
        <v>66</v>
      </c>
      <c r="C6">
        <v>-50</v>
      </c>
    </row>
    <row r="8" spans="1:3" x14ac:dyDescent="0.35">
      <c r="A8" t="s">
        <v>67</v>
      </c>
      <c r="B8" t="s">
        <v>68</v>
      </c>
      <c r="C8">
        <v>50</v>
      </c>
    </row>
    <row r="9" spans="1:3" x14ac:dyDescent="0.35">
      <c r="B9" t="s">
        <v>69</v>
      </c>
      <c r="C9">
        <v>25</v>
      </c>
    </row>
    <row r="10" spans="1:3" x14ac:dyDescent="0.35">
      <c r="B10" t="s">
        <v>70</v>
      </c>
      <c r="C10">
        <v>0</v>
      </c>
    </row>
    <row r="11" spans="1:3" x14ac:dyDescent="0.35">
      <c r="B11" t="s">
        <v>71</v>
      </c>
      <c r="C11">
        <v>-25</v>
      </c>
    </row>
    <row r="12" spans="1:3" x14ac:dyDescent="0.35">
      <c r="B12" t="s">
        <v>72</v>
      </c>
      <c r="C12">
        <v>-50</v>
      </c>
    </row>
    <row r="14" spans="1:3" x14ac:dyDescent="0.35">
      <c r="A14" t="s">
        <v>73</v>
      </c>
      <c r="B14" t="s">
        <v>74</v>
      </c>
      <c r="C14">
        <v>20</v>
      </c>
    </row>
    <row r="15" spans="1:3" x14ac:dyDescent="0.35">
      <c r="B15" t="s">
        <v>75</v>
      </c>
      <c r="C15">
        <v>10</v>
      </c>
    </row>
    <row r="16" spans="1:3" x14ac:dyDescent="0.35">
      <c r="B16" t="s">
        <v>76</v>
      </c>
      <c r="C16">
        <v>0</v>
      </c>
    </row>
    <row r="17" spans="1:3" x14ac:dyDescent="0.35">
      <c r="B17" t="s">
        <v>77</v>
      </c>
      <c r="C17">
        <v>-10</v>
      </c>
    </row>
    <row r="18" spans="1:3" x14ac:dyDescent="0.35">
      <c r="B18" t="s">
        <v>78</v>
      </c>
      <c r="C18">
        <v>-20</v>
      </c>
    </row>
    <row r="20" spans="1:3" x14ac:dyDescent="0.35">
      <c r="A20" t="s">
        <v>79</v>
      </c>
      <c r="B20" t="s">
        <v>80</v>
      </c>
      <c r="C20">
        <v>-10</v>
      </c>
    </row>
    <row r="21" spans="1:3" x14ac:dyDescent="0.35">
      <c r="B21" t="s">
        <v>81</v>
      </c>
      <c r="C21">
        <f>+C20*2</f>
        <v>-20</v>
      </c>
    </row>
    <row r="22" spans="1:3" x14ac:dyDescent="0.35">
      <c r="B22" t="s">
        <v>82</v>
      </c>
      <c r="C22">
        <f>+C21*2</f>
        <v>-40</v>
      </c>
    </row>
    <row r="23" spans="1:3" x14ac:dyDescent="0.35">
      <c r="B23" t="s">
        <v>83</v>
      </c>
      <c r="C23">
        <f>+C22*2</f>
        <v>-80</v>
      </c>
    </row>
    <row r="24" spans="1:3" x14ac:dyDescent="0.35">
      <c r="B24" t="s">
        <v>84</v>
      </c>
      <c r="C24">
        <f>+C23*2</f>
        <v>-160</v>
      </c>
    </row>
    <row r="26" spans="1:3" x14ac:dyDescent="0.35">
      <c r="A26" t="s">
        <v>85</v>
      </c>
      <c r="B26" t="s">
        <v>86</v>
      </c>
      <c r="C26">
        <v>-1</v>
      </c>
    </row>
    <row r="27" spans="1:3" x14ac:dyDescent="0.35">
      <c r="B27" t="s">
        <v>87</v>
      </c>
      <c r="C27">
        <f>+C26*2</f>
        <v>-2</v>
      </c>
    </row>
    <row r="28" spans="1:3" x14ac:dyDescent="0.35">
      <c r="B28" t="s">
        <v>88</v>
      </c>
      <c r="C28">
        <f>+C27*2</f>
        <v>-4</v>
      </c>
    </row>
    <row r="29" spans="1:3" x14ac:dyDescent="0.35">
      <c r="B29" t="s">
        <v>89</v>
      </c>
      <c r="C29">
        <f>+C28*2</f>
        <v>-8</v>
      </c>
    </row>
    <row r="31" spans="1:3" x14ac:dyDescent="0.35">
      <c r="A31" t="s">
        <v>90</v>
      </c>
      <c r="B31" t="s">
        <v>91</v>
      </c>
      <c r="C31">
        <v>-50</v>
      </c>
    </row>
    <row r="33" spans="1:3" x14ac:dyDescent="0.35">
      <c r="A33" t="s">
        <v>92</v>
      </c>
    </row>
    <row r="35" spans="1:3" x14ac:dyDescent="0.35">
      <c r="A35" t="s">
        <v>93</v>
      </c>
      <c r="B35" t="s">
        <v>173</v>
      </c>
      <c r="C35">
        <v>-1000</v>
      </c>
    </row>
    <row r="36" spans="1:3" x14ac:dyDescent="0.35">
      <c r="B36" t="s">
        <v>95</v>
      </c>
      <c r="C36">
        <v>-200</v>
      </c>
    </row>
    <row r="37" spans="1:3" x14ac:dyDescent="0.35">
      <c r="B37" t="s">
        <v>94</v>
      </c>
      <c r="C37">
        <v>-50</v>
      </c>
    </row>
    <row r="38" spans="1:3" x14ac:dyDescent="0.35">
      <c r="B38" t="s">
        <v>98</v>
      </c>
      <c r="C38">
        <v>1000</v>
      </c>
    </row>
    <row r="39" spans="1:3" x14ac:dyDescent="0.35">
      <c r="B39" t="s">
        <v>97</v>
      </c>
      <c r="C39">
        <v>100</v>
      </c>
    </row>
    <row r="40" spans="1:3" x14ac:dyDescent="0.35">
      <c r="B40" t="s">
        <v>96</v>
      </c>
      <c r="C40">
        <v>100</v>
      </c>
    </row>
    <row r="41" spans="1:3" x14ac:dyDescent="0.35">
      <c r="B41" t="s">
        <v>174</v>
      </c>
      <c r="C41">
        <v>-200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D287-5985-48C0-88D9-B8B2B82FB872}">
  <dimension ref="A1:G16"/>
  <sheetViews>
    <sheetView workbookViewId="0">
      <selection activeCell="E13" sqref="E13"/>
    </sheetView>
  </sheetViews>
  <sheetFormatPr defaultRowHeight="14.5" x14ac:dyDescent="0.35"/>
  <cols>
    <col min="1" max="1" width="11.81640625" customWidth="1"/>
    <col min="2" max="2" width="12.90625" bestFit="1" customWidth="1"/>
    <col min="3" max="3" width="11.81640625" customWidth="1"/>
    <col min="4" max="4" width="12.1796875" bestFit="1" customWidth="1"/>
    <col min="5" max="6" width="8.54296875" bestFit="1" customWidth="1"/>
    <col min="7" max="7" width="9.90625" bestFit="1" customWidth="1"/>
  </cols>
  <sheetData>
    <row r="1" spans="1:7" x14ac:dyDescent="0.35">
      <c r="A1" s="2" t="s">
        <v>52</v>
      </c>
      <c r="B1" s="2" t="s">
        <v>158</v>
      </c>
      <c r="C1" s="2" t="s">
        <v>31</v>
      </c>
      <c r="D1" s="2" t="s">
        <v>59</v>
      </c>
      <c r="E1" s="2" t="s">
        <v>53</v>
      </c>
      <c r="F1" s="2" t="s">
        <v>54</v>
      </c>
      <c r="G1" s="2" t="s">
        <v>55</v>
      </c>
    </row>
    <row r="2" spans="1:7" x14ac:dyDescent="0.35">
      <c r="A2" t="s">
        <v>37</v>
      </c>
      <c r="B2" t="s">
        <v>159</v>
      </c>
      <c r="C2" t="s">
        <v>34</v>
      </c>
      <c r="D2">
        <v>90</v>
      </c>
      <c r="E2">
        <v>0</v>
      </c>
      <c r="F2">
        <v>0</v>
      </c>
      <c r="G2">
        <v>1</v>
      </c>
    </row>
    <row r="3" spans="1:7" x14ac:dyDescent="0.35">
      <c r="A3" t="s">
        <v>48</v>
      </c>
      <c r="B3" t="s">
        <v>160</v>
      </c>
      <c r="C3" t="s">
        <v>32</v>
      </c>
      <c r="D3">
        <v>70</v>
      </c>
      <c r="E3">
        <v>1</v>
      </c>
      <c r="F3">
        <v>2</v>
      </c>
      <c r="G3">
        <v>11</v>
      </c>
    </row>
    <row r="4" spans="1:7" x14ac:dyDescent="0.35">
      <c r="A4" t="s">
        <v>49</v>
      </c>
      <c r="B4" t="s">
        <v>160</v>
      </c>
      <c r="C4" t="s">
        <v>33</v>
      </c>
      <c r="D4">
        <v>80</v>
      </c>
      <c r="E4">
        <v>0</v>
      </c>
      <c r="F4">
        <v>1</v>
      </c>
      <c r="G4">
        <v>2</v>
      </c>
    </row>
    <row r="5" spans="1:7" x14ac:dyDescent="0.35">
      <c r="A5" t="s">
        <v>38</v>
      </c>
      <c r="B5" t="s">
        <v>162</v>
      </c>
      <c r="C5" t="s">
        <v>32</v>
      </c>
      <c r="D5">
        <v>50</v>
      </c>
      <c r="E5">
        <v>1</v>
      </c>
      <c r="F5">
        <v>3</v>
      </c>
      <c r="G5">
        <v>11</v>
      </c>
    </row>
    <row r="6" spans="1:7" x14ac:dyDescent="0.35">
      <c r="A6" t="s">
        <v>32</v>
      </c>
      <c r="B6" t="s">
        <v>162</v>
      </c>
      <c r="C6" t="s">
        <v>32</v>
      </c>
      <c r="D6">
        <v>70</v>
      </c>
      <c r="E6">
        <v>1</v>
      </c>
      <c r="F6">
        <v>4</v>
      </c>
      <c r="G6">
        <v>11</v>
      </c>
    </row>
    <row r="7" spans="1:7" x14ac:dyDescent="0.35">
      <c r="A7" t="s">
        <v>39</v>
      </c>
      <c r="B7" t="s">
        <v>159</v>
      </c>
      <c r="C7" t="s">
        <v>33</v>
      </c>
      <c r="D7">
        <v>100</v>
      </c>
      <c r="E7">
        <v>0</v>
      </c>
      <c r="F7">
        <v>0</v>
      </c>
      <c r="G7">
        <v>1</v>
      </c>
    </row>
    <row r="8" spans="1:7" x14ac:dyDescent="0.35">
      <c r="A8" t="s">
        <v>45</v>
      </c>
      <c r="B8" t="s">
        <v>161</v>
      </c>
      <c r="C8" t="s">
        <v>35</v>
      </c>
      <c r="D8">
        <v>70</v>
      </c>
      <c r="E8">
        <v>1</v>
      </c>
      <c r="F8">
        <v>2</v>
      </c>
      <c r="G8">
        <v>5</v>
      </c>
    </row>
    <row r="9" spans="1:7" x14ac:dyDescent="0.35">
      <c r="A9" t="s">
        <v>43</v>
      </c>
      <c r="B9" t="s">
        <v>159</v>
      </c>
      <c r="C9" t="s">
        <v>36</v>
      </c>
      <c r="D9">
        <v>80</v>
      </c>
      <c r="E9">
        <v>0</v>
      </c>
      <c r="F9">
        <v>0</v>
      </c>
      <c r="G9">
        <v>1</v>
      </c>
    </row>
    <row r="10" spans="1:7" x14ac:dyDescent="0.35">
      <c r="A10" t="s">
        <v>44</v>
      </c>
      <c r="B10" t="s">
        <v>161</v>
      </c>
      <c r="C10" t="s">
        <v>32</v>
      </c>
      <c r="D10">
        <v>50</v>
      </c>
      <c r="E10">
        <v>1</v>
      </c>
      <c r="F10">
        <v>6</v>
      </c>
      <c r="G10">
        <v>11</v>
      </c>
    </row>
    <row r="11" spans="1:7" x14ac:dyDescent="0.35">
      <c r="A11" t="s">
        <v>47</v>
      </c>
      <c r="B11" t="s">
        <v>47</v>
      </c>
      <c r="C11" t="s">
        <v>47</v>
      </c>
      <c r="D11">
        <v>100</v>
      </c>
      <c r="E11">
        <v>0</v>
      </c>
      <c r="F11">
        <v>0</v>
      </c>
      <c r="G11">
        <v>0</v>
      </c>
    </row>
    <row r="12" spans="1:7" x14ac:dyDescent="0.35">
      <c r="A12" t="s">
        <v>35</v>
      </c>
      <c r="B12" t="s">
        <v>162</v>
      </c>
      <c r="C12" t="s">
        <v>35</v>
      </c>
      <c r="D12">
        <v>80</v>
      </c>
      <c r="E12">
        <v>1</v>
      </c>
      <c r="F12">
        <v>1</v>
      </c>
      <c r="G12">
        <v>3</v>
      </c>
    </row>
    <row r="13" spans="1:7" x14ac:dyDescent="0.35">
      <c r="A13" t="s">
        <v>33</v>
      </c>
      <c r="B13" t="s">
        <v>162</v>
      </c>
      <c r="C13" t="s">
        <v>33</v>
      </c>
      <c r="D13">
        <v>40</v>
      </c>
      <c r="E13">
        <v>0</v>
      </c>
      <c r="F13">
        <v>1</v>
      </c>
      <c r="G13">
        <v>2</v>
      </c>
    </row>
    <row r="14" spans="1:7" x14ac:dyDescent="0.35">
      <c r="A14" t="s">
        <v>50</v>
      </c>
      <c r="B14" t="s">
        <v>161</v>
      </c>
      <c r="C14" t="s">
        <v>36</v>
      </c>
      <c r="D14">
        <v>60</v>
      </c>
      <c r="E14">
        <v>1</v>
      </c>
      <c r="F14">
        <v>1</v>
      </c>
      <c r="G14">
        <v>4</v>
      </c>
    </row>
    <row r="15" spans="1:7" x14ac:dyDescent="0.35">
      <c r="A15" t="s">
        <v>36</v>
      </c>
      <c r="B15" t="s">
        <v>162</v>
      </c>
      <c r="C15" t="s">
        <v>36</v>
      </c>
      <c r="D15">
        <v>80</v>
      </c>
      <c r="E15">
        <v>1</v>
      </c>
      <c r="F15">
        <v>0</v>
      </c>
      <c r="G15">
        <v>3</v>
      </c>
    </row>
    <row r="16" spans="1:7" x14ac:dyDescent="0.35">
      <c r="A16" t="s">
        <v>51</v>
      </c>
      <c r="B16" t="s">
        <v>159</v>
      </c>
      <c r="C16" t="s">
        <v>51</v>
      </c>
      <c r="D16">
        <v>60</v>
      </c>
      <c r="E16">
        <v>0</v>
      </c>
      <c r="F16">
        <v>0</v>
      </c>
      <c r="G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Events</vt:lpstr>
      <vt:lpstr>Employees</vt:lpstr>
      <vt:lpstr>DaysOff</vt:lpstr>
      <vt:lpstr>EventReq</vt:lpstr>
      <vt:lpstr>ScoreKeys</vt:lpstr>
      <vt:lpstr>SkillsetScores</vt:lpstr>
      <vt:lpstr>Score krass</vt:lpstr>
      <vt:lpstr>EventTypes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Katrín Sigurðardóttir</dc:creator>
  <cp:lastModifiedBy>Silja Guðmundsdóttir</cp:lastModifiedBy>
  <dcterms:created xsi:type="dcterms:W3CDTF">2026-02-08T13:27:47Z</dcterms:created>
  <dcterms:modified xsi:type="dcterms:W3CDTF">2026-04-09T14:24:50Z</dcterms:modified>
</cp:coreProperties>
</file>