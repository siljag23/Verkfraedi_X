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Desktop/"/>
    </mc:Choice>
  </mc:AlternateContent>
  <xr:revisionPtr revIDLastSave="0" documentId="8_{87955A77-818D-AC47-9275-6E29A7458945}" xr6:coauthVersionLast="47" xr6:coauthVersionMax="47" xr10:uidLastSave="{00000000-0000-0000-0000-000000000000}"/>
  <bookViews>
    <workbookView xWindow="0" yWindow="760" windowWidth="26080" windowHeight="1536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8" i="7" s="1"/>
  <c r="C29" i="7" s="1"/>
  <c r="AQ1" i="9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46" i="3" l="1"/>
  <c r="E46" i="3"/>
  <c r="D46" i="3"/>
  <c r="H45" i="3"/>
  <c r="G45" i="3"/>
  <c r="F45" i="3"/>
  <c r="E45" i="3"/>
  <c r="D45" i="3"/>
  <c r="H44" i="3"/>
  <c r="F44" i="3"/>
  <c r="E44" i="3"/>
  <c r="D44" i="3"/>
  <c r="H43" i="3"/>
  <c r="G43" i="3"/>
  <c r="F43" i="3"/>
  <c r="E43" i="3"/>
  <c r="D43" i="3"/>
  <c r="H42" i="3"/>
  <c r="G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G38" i="3"/>
  <c r="F38" i="3"/>
  <c r="E38" i="3"/>
  <c r="D38" i="3"/>
  <c r="H37" i="3"/>
  <c r="G37" i="3"/>
  <c r="F37" i="3"/>
  <c r="E37" i="3"/>
  <c r="D37" i="3"/>
  <c r="H36" i="3"/>
  <c r="G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<sst xmlns="http://schemas.openxmlformats.org/spreadsheetml/2006/main" count="240" uniqueCount="109">
  <si>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</si>
  <si>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</si>
  <si>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</si>
  <si>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</si>
  <si>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</si>
  <si>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</si>
  <si>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</si>
  <si>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</si>
  <si>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</si>
  <si>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</si>
  <si>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</si>
  <si>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</si>
  <si>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</si>
  <si>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</si>
  <si>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</si>
  <si>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</si>
  <si>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</si>
  <si>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</si>
  <si>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</si>
  <si>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</si>
  <si>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</si>
  <si>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</si>
  <si>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</si>
  <si>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</si>
  <si>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</si>
  <si>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</si>
  <si>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</si>
  <si>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</si>
  <si>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</si>
  <si>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</si>
  <si>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</si>
  <si>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</si>
  <si>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</si>
  <si>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</si>
  <si>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</si>
  <si>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</si>
  <si>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</si>
  <si>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</si>
  <si>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</si>
  <si>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</si>
  <si>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</si>
  <si>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</si>
  <si>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</si>
  <si>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</si>
  <si>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</si>
  <si>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</si>
  <si>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</si>
  <si>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</si>
  <si>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</si>
  <si>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</si>
  <si>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</si>
  <si>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</si>
  <si>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</si>
  <si>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</si>
  <si>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</si>
  <si>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</si>
  <si>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</si>
  <si>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</si>
  <si>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</si>
  <si>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</si>
  <si>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</si>
  <si>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</si>
  <si>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</si>
  <si>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</si>
  <si>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</si>
  <si>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</si>
  <si>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</si>
  <si>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</si>
  <si>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</si>
  <si>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</si>
  <si>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</si>
  <si>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</si>
  <si>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</si>
  <si>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</si>
  <si>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</si>
  <si>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</si>
  <si>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</si>
  <si>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</si>
  <si>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</si>
  <si>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</si>
  <si>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</si>
  <si>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</si>
  <si>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</si>
  <si>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</si>
  <si>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</si>
  <si>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</si>
  <si>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</si>
  <si>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</si>
  <si>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MÍT</t>
  </si>
  <si>
    <t>NB</t>
  </si>
  <si>
    <t>DWC</t>
  </si>
  <si>
    <t>SÍ</t>
  </si>
  <si>
    <t>KP</t>
  </si>
  <si>
    <t>Barna dans</t>
  </si>
  <si>
    <t>UpT</t>
  </si>
  <si>
    <t>SR</t>
  </si>
  <si>
    <t>LR</t>
  </si>
  <si>
    <t>FB</t>
  </si>
  <si>
    <t>HT</t>
  </si>
  <si>
    <t>KV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</si>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</sst>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46"/>
  <sheetViews>
    <sheetView zoomScaleNormal="100" workbookViewId="0">
      <selection activeCell="N26" sqref="N26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32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7</v>
      </c>
      <c r="C2" t="s">
        <v>7</v>
      </c>
      <c r="D2" t="str">
        <f>_xlfn.XLOOKUP(C2,EventTypes!A:A,EventTypes!B:B,"")</f>
        <v>Solo</v>
      </c>
      <c r="E2">
        <f>_xlfn.XLOOKUP(C2,EventTypes!A:A,EventTypes!D:D,"")</f>
        <v>80</v>
      </c>
      <c r="F2" t="str">
        <f>_xlfn.XLOOKUP(C2,EventTypes!A:A,EventTypes!C:C,"")</f>
        <v>BL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2">
      <c r="A3">
        <v>2</v>
      </c>
      <c r="B3" t="s">
        <v>83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0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2">
      <c r="A4">
        <v>3</v>
      </c>
      <c r="B4" t="s">
        <v>84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14</v>
      </c>
      <c r="J4" s="4">
        <v>46113</v>
      </c>
      <c r="K4" s="5">
        <v>0.79166666666666663</v>
      </c>
      <c r="L4" s="5">
        <v>0.9375</v>
      </c>
    </row>
    <row r="5" spans="1:12" x14ac:dyDescent="0.2">
      <c r="A5">
        <v>4</v>
      </c>
      <c r="B5" t="s">
        <v>83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0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2">
      <c r="A6">
        <v>5</v>
      </c>
      <c r="B6" t="s">
        <v>84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14</v>
      </c>
      <c r="J6" s="4">
        <v>46114</v>
      </c>
      <c r="K6" s="5">
        <v>0.79166666666666663</v>
      </c>
      <c r="L6" s="5">
        <v>0.91666666666666663</v>
      </c>
    </row>
    <row r="7" spans="1:12" x14ac:dyDescent="0.2">
      <c r="A7">
        <v>6</v>
      </c>
      <c r="B7" t="s">
        <v>84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8</v>
      </c>
      <c r="J7" s="4">
        <v>46116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80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2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50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2">
      <c r="A12">
        <v>11</v>
      </c>
      <c r="B12" t="s">
        <v>86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60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2">
      <c r="A13">
        <v>12</v>
      </c>
      <c r="B13" t="s">
        <v>85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40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2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0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2">
      <c r="A15">
        <v>14</v>
      </c>
      <c r="B15" t="s">
        <v>28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40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80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2">
      <c r="A17">
        <v>16</v>
      </c>
      <c r="B17" t="s">
        <v>87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1</v>
      </c>
      <c r="H17">
        <f>_xlfn.XLOOKUP(C17,EventTypes!A:A,EventTypes!F:F,"")</f>
        <v>0</v>
      </c>
      <c r="I17">
        <v>3</v>
      </c>
      <c r="J17" s="4">
        <v>46127</v>
      </c>
      <c r="K17" s="5">
        <v>0.79166666666666663</v>
      </c>
      <c r="L17" s="5">
        <v>0.91666666666666663</v>
      </c>
    </row>
    <row r="18" spans="1:12" x14ac:dyDescent="0.2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50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88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1</v>
      </c>
      <c r="J19" s="4">
        <v>46128</v>
      </c>
      <c r="K19" s="5">
        <v>0.6875</v>
      </c>
      <c r="L19" s="5">
        <v>0.875</v>
      </c>
    </row>
    <row r="20" spans="1:12" x14ac:dyDescent="0.2">
      <c r="A20">
        <v>19</v>
      </c>
      <c r="B20" t="s">
        <v>88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46129</v>
      </c>
      <c r="K20" s="5">
        <v>0.66666666666666663</v>
      </c>
      <c r="L20" s="5">
        <v>0.875</v>
      </c>
    </row>
    <row r="21" spans="1:12" x14ac:dyDescent="0.2">
      <c r="A21">
        <v>20</v>
      </c>
      <c r="B21" t="s">
        <v>88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0</v>
      </c>
      <c r="I21">
        <v>1</v>
      </c>
      <c r="J21" s="4">
        <v>46130</v>
      </c>
      <c r="K21" s="5">
        <v>0.41666666666666669</v>
      </c>
      <c r="L21" s="5">
        <v>0.625</v>
      </c>
    </row>
    <row r="22" spans="1:12" x14ac:dyDescent="0.2">
      <c r="A22">
        <v>21</v>
      </c>
      <c r="B22" t="s">
        <v>88</v>
      </c>
      <c r="C22" t="s">
        <v>6</v>
      </c>
      <c r="D22" t="str">
        <f>_xlfn.XLOOKUP(C22,EventTypes!A:A,EventTypes!B:B,"")</f>
        <v>Basic</v>
      </c>
      <c r="E22">
        <f>_xlfn.XLOOKUP(C22,EventTypes!A:A,EventTypes!D:D,"")</f>
        <v>80</v>
      </c>
      <c r="F22" t="str">
        <f>_xlfn.XLOOKUP(C22,EventTypes!A:A,EventTypes!C:C,"")</f>
        <v>NL</v>
      </c>
      <c r="G22">
        <v>0</v>
      </c>
      <c r="H22">
        <f>_xlfn.XLOOKUP(C22,EventTypes!A:A,EventTypes!F:F,"")</f>
        <v>0</v>
      </c>
      <c r="I22">
        <v>1</v>
      </c>
      <c r="J22" s="4">
        <v>46130</v>
      </c>
      <c r="K22" s="5">
        <v>0.625</v>
      </c>
      <c r="L22" s="6">
        <v>0.875</v>
      </c>
    </row>
    <row r="23" spans="1:12" x14ac:dyDescent="0.2">
      <c r="A23">
        <v>22</v>
      </c>
      <c r="B23" t="s">
        <v>88</v>
      </c>
      <c r="C23" t="s">
        <v>3</v>
      </c>
      <c r="D23" t="str">
        <f>_xlfn.XLOOKUP(C23,EventTypes!A:A,EventTypes!B:B,"")</f>
        <v>Basic</v>
      </c>
      <c r="E23">
        <f>_xlfn.XLOOKUP(C23,EventTypes!A:A,EventTypes!D:D,"")</f>
        <v>40</v>
      </c>
      <c r="F23" t="str">
        <f>_xlfn.XLOOKUP(C23,EventTypes!A:A,EventTypes!C:C,"")</f>
        <v>KL</v>
      </c>
      <c r="G23">
        <v>0</v>
      </c>
      <c r="H23">
        <f>_xlfn.XLOOKUP(C23,EventTypes!A:A,EventTypes!F:F,"")</f>
        <v>1</v>
      </c>
      <c r="I23">
        <v>1</v>
      </c>
      <c r="J23" s="4">
        <v>46128</v>
      </c>
      <c r="K23" s="5">
        <v>0.66666666666666663</v>
      </c>
      <c r="L23" s="5">
        <v>0.91666666666666663</v>
      </c>
    </row>
    <row r="24" spans="1:12" x14ac:dyDescent="0.2">
      <c r="A24">
        <v>23</v>
      </c>
      <c r="B24" t="s">
        <v>88</v>
      </c>
      <c r="C24" t="s">
        <v>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v>1</v>
      </c>
      <c r="J24" s="4">
        <v>46129</v>
      </c>
      <c r="K24" s="5">
        <v>0.66666666666666663</v>
      </c>
      <c r="L24" s="5">
        <v>0.91666666666666663</v>
      </c>
    </row>
    <row r="25" spans="1:12" x14ac:dyDescent="0.2">
      <c r="A25">
        <v>24</v>
      </c>
      <c r="B25" t="s">
        <v>88</v>
      </c>
      <c r="C25" t="s">
        <v>3</v>
      </c>
      <c r="D25" t="str">
        <f>_xlfn.XLOOKUP(C25,EventTypes!A:A,EventTypes!B:B,"")</f>
        <v>Basic</v>
      </c>
      <c r="E25">
        <f>_xlfn.XLOOKUP(C25,EventTypes!A:A,EventTypes!D:D,"")</f>
        <v>40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1</v>
      </c>
      <c r="I25">
        <v>1</v>
      </c>
      <c r="J25" s="4">
        <v>46130</v>
      </c>
      <c r="K25" s="5">
        <v>0.41666666666666669</v>
      </c>
      <c r="L25" s="5">
        <v>0.66666666666666663</v>
      </c>
    </row>
    <row r="26" spans="1:12" x14ac:dyDescent="0.2">
      <c r="A26">
        <v>25</v>
      </c>
      <c r="B26" t="s">
        <v>88</v>
      </c>
      <c r="C26" t="s">
        <v>3</v>
      </c>
      <c r="D26" t="str">
        <f>_xlfn.XLOOKUP(C26,EventTypes!A:A,EventTypes!B:B,"")</f>
        <v>Basic</v>
      </c>
      <c r="E26">
        <f>_xlfn.XLOOKUP(C26,EventTypes!A:A,EventTypes!D:D,"")</f>
        <v>40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1</v>
      </c>
      <c r="I26">
        <v>1</v>
      </c>
      <c r="J26" s="4">
        <v>46130</v>
      </c>
      <c r="K26" s="5">
        <v>0.66666666666666663</v>
      </c>
      <c r="L26" s="5">
        <v>0.91666666666666663</v>
      </c>
    </row>
    <row r="27" spans="1:12" x14ac:dyDescent="0.2">
      <c r="A27">
        <v>26</v>
      </c>
      <c r="B27" t="s">
        <v>89</v>
      </c>
      <c r="C27" t="s">
        <v>2</v>
      </c>
      <c r="D27" t="str">
        <f>_xlfn.XLOOKUP(C27,EventTypes!A:A,EventTypes!B:B,"")</f>
        <v>Basic</v>
      </c>
      <c r="E27">
        <f>_xlfn.XLOOKUP(C27,EventTypes!A:A,EventTypes!D:D,"")</f>
        <v>70</v>
      </c>
      <c r="F27" t="str">
        <f>_xlfn.XLOOKUP(C27,EventTypes!A:A,EventTypes!C:C,"")</f>
        <v>EB</v>
      </c>
      <c r="G27">
        <f>_xlfn.XLOOKUP(C27,EventTypes!A:A,EventTypes!E:E,"")</f>
        <v>1</v>
      </c>
      <c r="H27">
        <f>_xlfn.XLOOKUP(C27,EventTypes!A:A,EventTypes!F:F,"")</f>
        <v>4</v>
      </c>
      <c r="I27">
        <v>6</v>
      </c>
      <c r="J27" s="4">
        <v>46129</v>
      </c>
      <c r="K27" s="5">
        <v>0.79166666666666663</v>
      </c>
      <c r="L27" s="5">
        <v>0</v>
      </c>
    </row>
    <row r="28" spans="1:12" x14ac:dyDescent="0.2">
      <c r="A28">
        <v>27</v>
      </c>
      <c r="B28" t="s">
        <v>90</v>
      </c>
      <c r="C28" t="s">
        <v>2</v>
      </c>
      <c r="D28" t="str">
        <f>_xlfn.XLOOKUP(C28,EventTypes!A:A,EventTypes!B:B,"")</f>
        <v>Basic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4</v>
      </c>
      <c r="I28">
        <v>10</v>
      </c>
      <c r="J28" s="4">
        <v>46130</v>
      </c>
      <c r="K28" s="5">
        <v>0.47916666666666669</v>
      </c>
      <c r="L28" s="5">
        <v>0.70833333333333337</v>
      </c>
    </row>
    <row r="29" spans="1:12" x14ac:dyDescent="0.2">
      <c r="A29">
        <v>28</v>
      </c>
      <c r="B29" t="s">
        <v>91</v>
      </c>
      <c r="C29" t="s">
        <v>6</v>
      </c>
      <c r="D29" t="str">
        <f>_xlfn.XLOOKUP(C29,EventTypes!A:A,EventTypes!B:B,"")</f>
        <v>Basic</v>
      </c>
      <c r="E29">
        <f>_xlfn.XLOOKUP(C29,EventTypes!A:A,EventTypes!D:D,"")</f>
        <v>80</v>
      </c>
      <c r="F29" t="str">
        <f>_xlfn.XLOOKUP(C29,EventTypes!A:A,EventTypes!C:C,"")</f>
        <v>NL</v>
      </c>
      <c r="G29">
        <v>0</v>
      </c>
      <c r="H29">
        <f>_xlfn.XLOOKUP(C29,EventTypes!A:A,EventTypes!F:F,"")</f>
        <v>0</v>
      </c>
      <c r="I29">
        <v>2</v>
      </c>
      <c r="J29" s="4">
        <v>46131</v>
      </c>
      <c r="K29" s="5">
        <v>0.625</v>
      </c>
      <c r="L29" s="5">
        <v>0.79166666666666663</v>
      </c>
    </row>
    <row r="30" spans="1:12" ht="18" customHeight="1" x14ac:dyDescent="0.2">
      <c r="A30">
        <v>29</v>
      </c>
      <c r="B30" t="s">
        <v>92</v>
      </c>
      <c r="C30" t="s">
        <v>2</v>
      </c>
      <c r="D30" t="str">
        <f>_xlfn.XLOOKUP(C30,EventTypes!A:A,EventTypes!B:B,"")</f>
        <v>Basic</v>
      </c>
      <c r="E30">
        <f>_xlfn.XLOOKUP(C30,EventTypes!A:A,EventTypes!D:D,"")</f>
        <v>70</v>
      </c>
      <c r="F30" t="str">
        <f>_xlfn.XLOOKUP(C30,EventTypes!A:A,EventTypes!C:C,"")</f>
        <v>EB</v>
      </c>
      <c r="G30">
        <f>_xlfn.XLOOKUP(C30,EventTypes!A:A,EventTypes!E:E,"")</f>
        <v>1</v>
      </c>
      <c r="H30">
        <f>_xlfn.XLOOKUP(C30,EventTypes!A:A,EventTypes!F:F,"")</f>
        <v>4</v>
      </c>
      <c r="I30">
        <v>12</v>
      </c>
      <c r="J30" s="4">
        <v>46131</v>
      </c>
      <c r="K30" s="5">
        <v>0.58333333333333337</v>
      </c>
      <c r="L30" s="5">
        <v>0.75</v>
      </c>
    </row>
    <row r="31" spans="1:12" ht="16" customHeight="1" x14ac:dyDescent="0.2">
      <c r="A31">
        <v>30</v>
      </c>
      <c r="B31" t="s">
        <v>93</v>
      </c>
      <c r="C31" t="s">
        <v>15</v>
      </c>
      <c r="D31" t="str">
        <f>_xlfn.XLOOKUP(C31,EventTypes!A:A,EventTypes!B:B,"")</f>
        <v>Barna</v>
      </c>
      <c r="E31">
        <f>_xlfn.XLOOKUP(C31,EventTypes!A:A,EventTypes!D:D,"")</f>
        <v>70</v>
      </c>
      <c r="F31" t="str">
        <f>_xlfn.XLOOKUP(C31,EventTypes!A:A,EventTypes!C:C,"")</f>
        <v>EB</v>
      </c>
      <c r="G31">
        <f>_xlfn.XLOOKUP(C31,EventTypes!A:A,EventTypes!E:E,"")</f>
        <v>1</v>
      </c>
      <c r="H31">
        <f>_xlfn.XLOOKUP(C31,EventTypes!A:A,EventTypes!F:F,"")</f>
        <v>2</v>
      </c>
      <c r="I31">
        <v>5</v>
      </c>
      <c r="J31" s="4">
        <v>46133</v>
      </c>
      <c r="K31" s="5">
        <v>0.6875</v>
      </c>
      <c r="L31" s="5">
        <v>0.83333333333333337</v>
      </c>
    </row>
    <row r="32" spans="1:12" ht="16" customHeight="1" x14ac:dyDescent="0.2">
      <c r="A32">
        <v>32</v>
      </c>
      <c r="B32" t="s">
        <v>94</v>
      </c>
      <c r="C32" t="s">
        <v>6</v>
      </c>
      <c r="D32" t="str">
        <f>_xlfn.XLOOKUP(C32,EventTypes!A:A,EventTypes!B:B,"")</f>
        <v>Basic</v>
      </c>
      <c r="E32">
        <f>_xlfn.XLOOKUP(C32,EventTypes!A:A,EventTypes!D:D,"")</f>
        <v>80</v>
      </c>
      <c r="F32" t="str">
        <f>_xlfn.XLOOKUP(C32,EventTypes!A:A,EventTypes!C:C,"")</f>
        <v>NL</v>
      </c>
      <c r="G32">
        <v>0</v>
      </c>
      <c r="H32">
        <f>_xlfn.XLOOKUP(C32,EventTypes!A:A,EventTypes!F:F,"")</f>
        <v>0</v>
      </c>
      <c r="I32">
        <v>1</v>
      </c>
      <c r="J32" s="4">
        <v>46134</v>
      </c>
      <c r="K32" s="5">
        <v>0.66666666666666663</v>
      </c>
      <c r="L32" s="5">
        <v>0.83333333333333337</v>
      </c>
    </row>
    <row r="33" spans="1:12" x14ac:dyDescent="0.2">
      <c r="A33">
        <v>33</v>
      </c>
      <c r="B33" t="s">
        <v>96</v>
      </c>
      <c r="C33" t="s">
        <v>6</v>
      </c>
      <c r="D33" t="str">
        <f>_xlfn.XLOOKUP(C33,EventTypes!A:A,EventTypes!B:B,"")</f>
        <v>Basic</v>
      </c>
      <c r="E33">
        <f>_xlfn.XLOOKUP(C33,EventTypes!A:A,EventTypes!D:D,"")</f>
        <v>80</v>
      </c>
      <c r="F33" t="str">
        <f>_xlfn.XLOOKUP(C33,EventTypes!A:A,EventTypes!C:C,"")</f>
        <v>NL</v>
      </c>
      <c r="G33">
        <v>0</v>
      </c>
      <c r="H33">
        <f>_xlfn.XLOOKUP(C33,EventTypes!A:A,EventTypes!F:F,"")</f>
        <v>0</v>
      </c>
      <c r="I33">
        <v>2</v>
      </c>
      <c r="J33" s="4">
        <v>46137</v>
      </c>
      <c r="K33" s="5">
        <v>0.79166666666666663</v>
      </c>
      <c r="L33" s="5">
        <v>0.95833333333333337</v>
      </c>
    </row>
    <row r="34" spans="1:12" x14ac:dyDescent="0.2">
      <c r="A34">
        <v>34</v>
      </c>
      <c r="B34" t="s">
        <v>97</v>
      </c>
      <c r="C34" t="s">
        <v>6</v>
      </c>
      <c r="D34" t="str">
        <f>_xlfn.XLOOKUP(C34,EventTypes!A:A,EventTypes!B:B,"")</f>
        <v>Basic</v>
      </c>
      <c r="E34">
        <f>_xlfn.XLOOKUP(C34,EventTypes!A:A,EventTypes!D:D,"")</f>
        <v>80</v>
      </c>
      <c r="F34" t="str">
        <f>_xlfn.XLOOKUP(C34,EventTypes!A:A,EventTypes!C:C,"")</f>
        <v>NL</v>
      </c>
      <c r="G34">
        <v>0</v>
      </c>
      <c r="H34">
        <f>_xlfn.XLOOKUP(C34,EventTypes!A:A,EventTypes!F:F,"")</f>
        <v>0</v>
      </c>
      <c r="I34">
        <v>2</v>
      </c>
      <c r="J34" s="4">
        <v>46141</v>
      </c>
      <c r="K34" s="5">
        <v>0.79166666666666663</v>
      </c>
      <c r="L34" s="5">
        <v>0.91666666666666663</v>
      </c>
    </row>
    <row r="35" spans="1:12" x14ac:dyDescent="0.2">
      <c r="A35">
        <v>35</v>
      </c>
      <c r="B35" t="s">
        <v>97</v>
      </c>
      <c r="C35" t="s">
        <v>6</v>
      </c>
      <c r="D35" t="str">
        <f>_xlfn.XLOOKUP(C35,EventTypes!A:A,EventTypes!B:B,"")</f>
        <v>Basic</v>
      </c>
      <c r="E35">
        <f>_xlfn.XLOOKUP(C35,EventTypes!A:A,EventTypes!D:D,"")</f>
        <v>80</v>
      </c>
      <c r="F35" t="str">
        <f>_xlfn.XLOOKUP(C35,EventTypes!A:A,EventTypes!C:C,"")</f>
        <v>NL</v>
      </c>
      <c r="G35">
        <v>0</v>
      </c>
      <c r="H35">
        <f>_xlfn.XLOOKUP(C35,EventTypes!A:A,EventTypes!F:F,"")</f>
        <v>0</v>
      </c>
      <c r="I35">
        <v>2</v>
      </c>
      <c r="J35" s="4">
        <v>46142</v>
      </c>
      <c r="K35" s="5">
        <v>0.79166666666666663</v>
      </c>
      <c r="L35" s="5">
        <v>0.91666666666666663</v>
      </c>
    </row>
    <row r="36" spans="1:12" x14ac:dyDescent="0.2">
      <c r="A36">
        <v>36</v>
      </c>
      <c r="B36" t="s">
        <v>95</v>
      </c>
      <c r="C36" t="s">
        <v>3</v>
      </c>
      <c r="D36" t="str">
        <f>_xlfn.XLOOKUP(C36,EventTypes!A:A,EventTypes!B:B,"")</f>
        <v>Basic</v>
      </c>
      <c r="E36">
        <f>_xlfn.XLOOKUP(C36,EventTypes!A:A,EventTypes!D:D,"")</f>
        <v>40</v>
      </c>
      <c r="F36" t="str">
        <f>_xlfn.XLOOKUP(C36,EventTypes!A:A,EventTypes!C:C,"")</f>
        <v>KL</v>
      </c>
      <c r="G36">
        <f>_xlfn.XLOOKUP(C36,EventTypes!A:A,EventTypes!E:E,"")</f>
        <v>0</v>
      </c>
      <c r="H36">
        <f>_xlfn.XLOOKUP(C36,EventTypes!A:A,EventTypes!F:F,"")</f>
        <v>1</v>
      </c>
      <c r="I36">
        <v>1</v>
      </c>
      <c r="J36" s="4">
        <v>46134</v>
      </c>
      <c r="K36" s="5">
        <v>0.79166666666666663</v>
      </c>
      <c r="L36" s="5">
        <v>0.91666666666666663</v>
      </c>
    </row>
    <row r="37" spans="1:12" x14ac:dyDescent="0.2">
      <c r="A37">
        <v>37</v>
      </c>
      <c r="B37" t="s">
        <v>98</v>
      </c>
      <c r="C37" t="s">
        <v>9</v>
      </c>
      <c r="D37" t="str">
        <f>_xlfn.XLOOKUP(C37,EventTypes!A:A,EventTypes!B:B,"")</f>
        <v>Solo</v>
      </c>
      <c r="E37">
        <f>_xlfn.XLOOKUP(C37,EventTypes!A:A,EventTypes!D:D,"")</f>
        <v>100</v>
      </c>
      <c r="F37" t="str">
        <f>_xlfn.XLOOKUP(C37,EventTypes!A:A,EventTypes!C:C,"")</f>
        <v>KL</v>
      </c>
      <c r="G37">
        <f>_xlfn.XLOOKUP(C37,EventTypes!A:A,EventTypes!E:E,"")</f>
        <v>0</v>
      </c>
      <c r="H37">
        <f>_xlfn.XLOOKUP(C37,EventTypes!A:A,EventTypes!F:F,"")</f>
        <v>0</v>
      </c>
      <c r="I37">
        <v>1</v>
      </c>
      <c r="J37" s="4">
        <v>46137</v>
      </c>
      <c r="K37" s="5">
        <v>0.75</v>
      </c>
      <c r="L37" s="5">
        <v>0.91666666666666663</v>
      </c>
    </row>
    <row r="38" spans="1:12" x14ac:dyDescent="0.2">
      <c r="A38">
        <v>38</v>
      </c>
      <c r="B38" t="s">
        <v>29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46137</v>
      </c>
      <c r="K38" s="5">
        <v>0.5</v>
      </c>
      <c r="L38" s="5">
        <v>0.66666666666666663</v>
      </c>
    </row>
    <row r="39" spans="1:12" x14ac:dyDescent="0.2">
      <c r="A39">
        <v>39</v>
      </c>
      <c r="B39" t="s">
        <v>7</v>
      </c>
      <c r="C39" t="s">
        <v>7</v>
      </c>
      <c r="D39" t="str">
        <f>_xlfn.XLOOKUP(C39,EventTypes!A:A,EventTypes!B:B,"")</f>
        <v>Solo</v>
      </c>
      <c r="E39">
        <f>_xlfn.XLOOKUP(C39,EventTypes!A:A,EventTypes!D:D,"")</f>
        <v>80</v>
      </c>
      <c r="F39" t="str">
        <f>_xlfn.XLOOKUP(C39,EventTypes!A:A,EventTypes!C:C,"")</f>
        <v>BL</v>
      </c>
      <c r="G39">
        <f>_xlfn.XLOOKUP(C39,EventTypes!A:A,EventTypes!E:E,"")</f>
        <v>0</v>
      </c>
      <c r="H39">
        <f>_xlfn.XLOOKUP(C39,EventTypes!A:A,EventTypes!F:F,"")</f>
        <v>0</v>
      </c>
      <c r="I39">
        <v>1</v>
      </c>
      <c r="J39" s="4">
        <v>46134</v>
      </c>
      <c r="K39" s="5">
        <v>0.79166666666666663</v>
      </c>
      <c r="L39" s="5">
        <v>0.91666666666666663</v>
      </c>
    </row>
    <row r="40" spans="1:12" x14ac:dyDescent="0.2">
      <c r="A40">
        <v>40</v>
      </c>
      <c r="B40" t="s">
        <v>7</v>
      </c>
      <c r="C40" t="s">
        <v>7</v>
      </c>
      <c r="D40" t="str">
        <f>_xlfn.XLOOKUP(C40,EventTypes!A:A,EventTypes!B:B,"")</f>
        <v>Solo</v>
      </c>
      <c r="E40">
        <f>_xlfn.XLOOKUP(C40,EventTypes!A:A,EventTypes!D:D,"")</f>
        <v>80</v>
      </c>
      <c r="F40" t="str">
        <f>_xlfn.XLOOKUP(C40,EventTypes!A:A,EventTypes!C:C,"")</f>
        <v>BL</v>
      </c>
      <c r="G40">
        <f>_xlfn.XLOOKUP(C40,EventTypes!A:A,EventTypes!E:E,"")</f>
        <v>0</v>
      </c>
      <c r="H40">
        <f>_xlfn.XLOOKUP(C40,EventTypes!A:A,EventTypes!F:F,"")</f>
        <v>0</v>
      </c>
      <c r="I40">
        <v>1</v>
      </c>
      <c r="J40" s="4">
        <v>46141</v>
      </c>
      <c r="K40" s="5">
        <v>0.79166666666666663</v>
      </c>
      <c r="L40" s="5">
        <v>0.91666666666666663</v>
      </c>
    </row>
    <row r="41" spans="1:12" x14ac:dyDescent="0.2">
      <c r="A41">
        <v>41</v>
      </c>
      <c r="B41" t="s">
        <v>99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46132</v>
      </c>
      <c r="K41" s="5">
        <v>0.75</v>
      </c>
      <c r="L41" s="5">
        <v>0.875</v>
      </c>
    </row>
    <row r="42" spans="1:12" x14ac:dyDescent="0.2">
      <c r="A42">
        <v>42</v>
      </c>
      <c r="B42" t="s">
        <v>8</v>
      </c>
      <c r="C42" t="s">
        <v>8</v>
      </c>
      <c r="D42" t="str">
        <f>_xlfn.XLOOKUP(C42,EventTypes!A:A,EventTypes!B:B,"")</f>
        <v>Basic</v>
      </c>
      <c r="E42">
        <f>_xlfn.XLOOKUP(C42,EventTypes!A:A,EventTypes!D:D,"")</f>
        <v>50</v>
      </c>
      <c r="F42" t="str">
        <f>_xlfn.XLOOKUP(C42,EventTypes!A:A,EventTypes!C:C,"")</f>
        <v>EB</v>
      </c>
      <c r="G42">
        <f>_xlfn.XLOOKUP(C42,EventTypes!A:A,EventTypes!E:E,"")</f>
        <v>1</v>
      </c>
      <c r="H42">
        <f>_xlfn.XLOOKUP(C42,EventTypes!A:A,EventTypes!F:F,"")</f>
        <v>3</v>
      </c>
      <c r="I42">
        <v>7</v>
      </c>
      <c r="J42" s="4">
        <v>46136</v>
      </c>
      <c r="K42" s="5">
        <v>0.77083333333333337</v>
      </c>
      <c r="L42" s="5">
        <v>0.89583333333333337</v>
      </c>
    </row>
    <row r="43" spans="1:12" x14ac:dyDescent="0.2">
      <c r="A43">
        <v>43</v>
      </c>
      <c r="B43" t="s">
        <v>100</v>
      </c>
      <c r="C43" t="s">
        <v>12</v>
      </c>
      <c r="D43" t="str">
        <f>_xlfn.XLOOKUP(C43,EventTypes!A:A,EventTypes!B:B,"")</f>
        <v>Party</v>
      </c>
      <c r="E43">
        <f>_xlfn.XLOOKUP(C43,EventTypes!A:A,EventTypes!D:D,"")</f>
        <v>50</v>
      </c>
      <c r="F43" t="str">
        <f>_xlfn.XLOOKUP(C43,EventTypes!A:A,EventTypes!C:C,"")</f>
        <v>EB</v>
      </c>
      <c r="G43">
        <f>_xlfn.XLOOKUP(C43,EventTypes!A:A,EventTypes!E:E,"")</f>
        <v>1</v>
      </c>
      <c r="H43">
        <f>_xlfn.XLOOKUP(C43,EventTypes!A:A,EventTypes!F:F,"")</f>
        <v>6</v>
      </c>
      <c r="I43">
        <v>12</v>
      </c>
      <c r="J43" s="4">
        <v>46137</v>
      </c>
      <c r="K43" s="5">
        <v>0.83333333333333337</v>
      </c>
      <c r="L43" s="5">
        <v>0</v>
      </c>
    </row>
    <row r="44" spans="1:12" x14ac:dyDescent="0.2">
      <c r="A44">
        <v>44</v>
      </c>
      <c r="B44" t="s">
        <v>101</v>
      </c>
      <c r="C44" t="s">
        <v>2</v>
      </c>
      <c r="D44" t="str">
        <f>_xlfn.XLOOKUP(C44,EventTypes!A:A,EventTypes!B:B,"")</f>
        <v>Basic</v>
      </c>
      <c r="E44">
        <f>_xlfn.XLOOKUP(C44,EventTypes!A:A,EventTypes!D:D,"")</f>
        <v>70</v>
      </c>
      <c r="F44" t="str">
        <f>_xlfn.XLOOKUP(C44,EventTypes!A:A,EventTypes!C:C,"")</f>
        <v>EB</v>
      </c>
      <c r="G44">
        <v>1</v>
      </c>
      <c r="H44">
        <f>_xlfn.XLOOKUP(C44,EventTypes!A:A,EventTypes!F:F,"")</f>
        <v>4</v>
      </c>
      <c r="I44">
        <v>8</v>
      </c>
      <c r="J44" s="4">
        <v>46138</v>
      </c>
      <c r="K44" s="5">
        <v>0.66666666666666663</v>
      </c>
      <c r="L44" s="5">
        <v>0.83333333333333337</v>
      </c>
    </row>
    <row r="45" spans="1:12" x14ac:dyDescent="0.2">
      <c r="A45">
        <v>45</v>
      </c>
      <c r="B45" t="s">
        <v>8</v>
      </c>
      <c r="C45" t="s">
        <v>8</v>
      </c>
      <c r="D45" t="str">
        <f>_xlfn.XLOOKUP(C45,EventTypes!A:A,EventTypes!B:B,"")</f>
        <v>Basic</v>
      </c>
      <c r="E45">
        <f>_xlfn.XLOOKUP(C45,EventTypes!A:A,EventTypes!D:D,"")</f>
        <v>50</v>
      </c>
      <c r="F45" t="str">
        <f>_xlfn.XLOOKUP(C45,EventTypes!A:A,EventTypes!C:C,"")</f>
        <v>EB</v>
      </c>
      <c r="G45">
        <f>_xlfn.XLOOKUP(C45,EventTypes!A:A,EventTypes!E:E,"")</f>
        <v>1</v>
      </c>
      <c r="H45">
        <f>_xlfn.XLOOKUP(C45,EventTypes!A:A,EventTypes!F:F,"")</f>
        <v>3</v>
      </c>
      <c r="I45">
        <v>11</v>
      </c>
      <c r="J45" s="4">
        <v>46142</v>
      </c>
      <c r="K45" s="5">
        <v>0.77083333333333337</v>
      </c>
      <c r="L45" s="5">
        <v>0.89583333333333337</v>
      </c>
    </row>
    <row r="46" spans="1:12" x14ac:dyDescent="0.2">
      <c r="A46">
        <v>46</v>
      </c>
      <c r="B46" t="s">
        <v>95</v>
      </c>
      <c r="C46" t="s">
        <v>6</v>
      </c>
      <c r="D46" t="str">
        <f>_xlfn.XLOOKUP(C46,EventTypes!A:A,EventTypes!B:B,"")</f>
        <v>Basic</v>
      </c>
      <c r="E46">
        <f>_xlfn.XLOOKUP(C46,EventTypes!A:A,EventTypes!D:D,"")</f>
        <v>80</v>
      </c>
      <c r="F46" t="str">
        <f>_xlfn.XLOOKUP(C46,EventTypes!A:A,EventTypes!C:C,"")</f>
        <v>NL</v>
      </c>
      <c r="G46">
        <v>0</v>
      </c>
      <c r="H46">
        <v>0</v>
      </c>
      <c r="I46">
        <v>4</v>
      </c>
      <c r="J46" s="4">
        <v>46136</v>
      </c>
      <c r="K46" s="5">
        <v>0.75</v>
      </c>
      <c r="L46" s="5">
        <v>0.83333333333333337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topLeftCell="A5" workbookViewId="0">
      <selection activeCell="B24" sqref="B24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30</v>
      </c>
      <c r="B1" s="1" t="s">
        <v>31</v>
      </c>
      <c r="C1" s="1" t="s">
        <v>27</v>
      </c>
    </row>
    <row r="2" spans="1:3" x14ac:dyDescent="0.2">
      <c r="A2">
        <v>1</v>
      </c>
      <c r="B2" t="s">
        <v>102</v>
      </c>
      <c r="C2">
        <v>2</v>
      </c>
    </row>
    <row r="3" spans="1:3" x14ac:dyDescent="0.2">
      <c r="A3">
        <v>2</v>
      </c>
      <c r="B3" t="s">
        <v>49</v>
      </c>
      <c r="C3">
        <v>2</v>
      </c>
    </row>
    <row r="4" spans="1:3" x14ac:dyDescent="0.2">
      <c r="A4">
        <v>3</v>
      </c>
      <c r="B4" t="s">
        <v>50</v>
      </c>
      <c r="C4">
        <v>2</v>
      </c>
    </row>
    <row r="5" spans="1:3" x14ac:dyDescent="0.2">
      <c r="A5">
        <v>4</v>
      </c>
      <c r="B5" t="s">
        <v>51</v>
      </c>
      <c r="C5">
        <v>2</v>
      </c>
    </row>
    <row r="6" spans="1:3" x14ac:dyDescent="0.2">
      <c r="A6">
        <v>5</v>
      </c>
      <c r="B6" t="s">
        <v>52</v>
      </c>
      <c r="C6">
        <v>2</v>
      </c>
    </row>
    <row r="7" spans="1:3" x14ac:dyDescent="0.2">
      <c r="A7">
        <v>6</v>
      </c>
      <c r="B7" t="s">
        <v>103</v>
      </c>
      <c r="C7">
        <v>2</v>
      </c>
    </row>
    <row r="8" spans="1:3" x14ac:dyDescent="0.2">
      <c r="A8">
        <v>7</v>
      </c>
      <c r="B8" t="s">
        <v>104</v>
      </c>
      <c r="C8">
        <v>2</v>
      </c>
    </row>
    <row r="9" spans="1:3" x14ac:dyDescent="0.2">
      <c r="A9">
        <v>8</v>
      </c>
      <c r="B9" t="s">
        <v>53</v>
      </c>
      <c r="C9">
        <v>2</v>
      </c>
    </row>
    <row r="10" spans="1:3" x14ac:dyDescent="0.2">
      <c r="A10">
        <v>9</v>
      </c>
      <c r="B10" t="s">
        <v>54</v>
      </c>
      <c r="C10">
        <v>2</v>
      </c>
    </row>
    <row r="11" spans="1:3" x14ac:dyDescent="0.2">
      <c r="A11">
        <v>10</v>
      </c>
      <c r="B11" t="s">
        <v>55</v>
      </c>
      <c r="C11">
        <v>2</v>
      </c>
    </row>
    <row r="12" spans="1:3" x14ac:dyDescent="0.2">
      <c r="A12">
        <v>11</v>
      </c>
      <c r="B12" t="s">
        <v>56</v>
      </c>
      <c r="C12">
        <v>2</v>
      </c>
    </row>
    <row r="13" spans="1:3" x14ac:dyDescent="0.2">
      <c r="A13">
        <v>12</v>
      </c>
      <c r="B13" t="s">
        <v>57</v>
      </c>
      <c r="C13">
        <v>2</v>
      </c>
    </row>
    <row r="14" spans="1:3" x14ac:dyDescent="0.2">
      <c r="A14">
        <v>13</v>
      </c>
      <c r="B14" t="s">
        <v>58</v>
      </c>
      <c r="C14">
        <v>2</v>
      </c>
    </row>
    <row r="15" spans="1:3" x14ac:dyDescent="0.2">
      <c r="A15">
        <v>14</v>
      </c>
      <c r="B15" t="s">
        <v>59</v>
      </c>
      <c r="C15">
        <v>2</v>
      </c>
    </row>
    <row r="16" spans="1:3" x14ac:dyDescent="0.2">
      <c r="A16">
        <v>15</v>
      </c>
      <c r="B16" t="s">
        <v>60</v>
      </c>
      <c r="C16">
        <v>2</v>
      </c>
    </row>
    <row r="17" spans="1:3" x14ac:dyDescent="0.2">
      <c r="A17">
        <v>16</v>
      </c>
      <c r="B17" t="s">
        <v>61</v>
      </c>
      <c r="C17">
        <v>2</v>
      </c>
    </row>
    <row r="18" spans="1:3" x14ac:dyDescent="0.2">
      <c r="A18">
        <v>17</v>
      </c>
      <c r="B18" t="s">
        <v>62</v>
      </c>
      <c r="C18">
        <v>2</v>
      </c>
    </row>
    <row r="19" spans="1:3" x14ac:dyDescent="0.2">
      <c r="A19">
        <v>18</v>
      </c>
      <c r="B19" t="s">
        <v>63</v>
      </c>
      <c r="C19">
        <v>2</v>
      </c>
    </row>
    <row r="20" spans="1:3" x14ac:dyDescent="0.2">
      <c r="A20">
        <v>19</v>
      </c>
      <c r="B20" t="s">
        <v>64</v>
      </c>
      <c r="C20">
        <v>2</v>
      </c>
    </row>
    <row r="21" spans="1:3" x14ac:dyDescent="0.2">
      <c r="A21">
        <v>20</v>
      </c>
      <c r="B21" t="s">
        <v>65</v>
      </c>
      <c r="C21">
        <v>2</v>
      </c>
    </row>
    <row r="22" spans="1:3" x14ac:dyDescent="0.2">
      <c r="A22">
        <v>21</v>
      </c>
      <c r="B22" t="s">
        <v>105</v>
      </c>
      <c r="C22">
        <v>2</v>
      </c>
    </row>
    <row r="23" spans="1:3" x14ac:dyDescent="0.2">
      <c r="A23">
        <v>22</v>
      </c>
      <c r="B23" t="s">
        <v>66</v>
      </c>
      <c r="C23">
        <v>2</v>
      </c>
    </row>
    <row r="24" spans="1:3" x14ac:dyDescent="0.2">
      <c r="A24">
        <v>23</v>
      </c>
      <c r="B24" t="s">
        <v>106</v>
      </c>
      <c r="C24">
        <v>2</v>
      </c>
    </row>
    <row r="25" spans="1:3" x14ac:dyDescent="0.2">
      <c r="A25">
        <v>24</v>
      </c>
      <c r="B25" t="s">
        <v>67</v>
      </c>
      <c r="C25">
        <v>2</v>
      </c>
    </row>
    <row r="26" spans="1:3" x14ac:dyDescent="0.2">
      <c r="A26">
        <v>25</v>
      </c>
      <c r="B26" t="s">
        <v>107</v>
      </c>
      <c r="C26">
        <v>2</v>
      </c>
    </row>
    <row r="27" spans="1:3" x14ac:dyDescent="0.2">
      <c r="A27">
        <v>26</v>
      </c>
      <c r="B27" t="s">
        <v>68</v>
      </c>
      <c r="C27">
        <v>2</v>
      </c>
    </row>
    <row r="28" spans="1:3" x14ac:dyDescent="0.2">
      <c r="A28">
        <v>27</v>
      </c>
      <c r="B28" t="s">
        <v>69</v>
      </c>
      <c r="C28">
        <v>2</v>
      </c>
    </row>
    <row r="29" spans="1:3" x14ac:dyDescent="0.2">
      <c r="A29">
        <v>28</v>
      </c>
      <c r="B29" t="s">
        <v>70</v>
      </c>
      <c r="C29">
        <v>2</v>
      </c>
    </row>
    <row r="30" spans="1:3" x14ac:dyDescent="0.2">
      <c r="A30">
        <v>29</v>
      </c>
      <c r="B30" t="s">
        <v>71</v>
      </c>
      <c r="C30">
        <v>2</v>
      </c>
    </row>
    <row r="31" spans="1:3" x14ac:dyDescent="0.2">
      <c r="A31">
        <v>30</v>
      </c>
      <c r="B31" t="s">
        <v>72</v>
      </c>
      <c r="C31">
        <v>2</v>
      </c>
    </row>
    <row r="32" spans="1:3" x14ac:dyDescent="0.2">
      <c r="A32">
        <v>31</v>
      </c>
      <c r="B32" t="s">
        <v>73</v>
      </c>
      <c r="C32">
        <v>2</v>
      </c>
    </row>
    <row r="33" spans="1:3" x14ac:dyDescent="0.2">
      <c r="A33">
        <v>32</v>
      </c>
      <c r="B33" t="s">
        <v>74</v>
      </c>
      <c r="C33">
        <v>2</v>
      </c>
    </row>
    <row r="34" spans="1:3" x14ac:dyDescent="0.2">
      <c r="A34">
        <v>33</v>
      </c>
      <c r="B34" t="s">
        <v>75</v>
      </c>
      <c r="C34">
        <v>2</v>
      </c>
    </row>
    <row r="35" spans="1:3" x14ac:dyDescent="0.2">
      <c r="A35">
        <v>34</v>
      </c>
      <c r="B35" t="s">
        <v>108</v>
      </c>
      <c r="C35">
        <v>2</v>
      </c>
    </row>
    <row r="36" spans="1:3" x14ac:dyDescent="0.2">
      <c r="A36">
        <v>35</v>
      </c>
      <c r="B36" t="s">
        <v>76</v>
      </c>
      <c r="C36">
        <v>2</v>
      </c>
    </row>
    <row r="37" spans="1:3" x14ac:dyDescent="0.2">
      <c r="A37">
        <v>36</v>
      </c>
      <c r="B37" t="s">
        <v>77</v>
      </c>
      <c r="C37">
        <v>2</v>
      </c>
    </row>
    <row r="38" spans="1:3" x14ac:dyDescent="0.2">
      <c r="A38">
        <v>37</v>
      </c>
      <c r="B38" t="s">
        <v>78</v>
      </c>
      <c r="C38">
        <v>2</v>
      </c>
    </row>
    <row r="39" spans="1:3" x14ac:dyDescent="0.2">
      <c r="A39">
        <v>38</v>
      </c>
      <c r="B39" t="s">
        <v>79</v>
      </c>
      <c r="C39">
        <v>1</v>
      </c>
    </row>
    <row r="40" spans="1:3" x14ac:dyDescent="0.2">
      <c r="A40">
        <v>39</v>
      </c>
      <c r="B40" t="s">
        <v>80</v>
      </c>
      <c r="C40">
        <v>1</v>
      </c>
    </row>
    <row r="41" spans="1:3" x14ac:dyDescent="0.2">
      <c r="A41">
        <v>40</v>
      </c>
      <c r="B41" t="s">
        <v>81</v>
      </c>
      <c r="C41">
        <v>1</v>
      </c>
    </row>
    <row r="42" spans="1:3" x14ac:dyDescent="0.2">
      <c r="A42">
        <v>41</v>
      </c>
      <c r="B42" t="s">
        <v>82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3"/>
  <sheetViews>
    <sheetView tabSelected="1" zoomScale="93" workbookViewId="0">
      <selection activeCell="AJ23" sqref="AJ23"/>
    </sheetView>
  </sheetViews>
  <sheetFormatPr baseColWidth="10" defaultColWidth="8.83203125" defaultRowHeight="15" x14ac:dyDescent="0.2"/>
  <cols>
    <col min="1" max="1" width="12.1640625" bestFit="1" customWidth="1"/>
    <col min="2" max="31" width="10.1640625" bestFit="1" customWidth="1"/>
  </cols>
  <sheetData>
    <row r="1" spans="1:32" x14ac:dyDescent="0.2">
      <c r="A1" s="1" t="s">
        <v>30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2" x14ac:dyDescent="0.2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2" x14ac:dyDescent="0.2">
      <c r="A4">
        <v>3</v>
      </c>
      <c r="T4">
        <v>1</v>
      </c>
      <c r="U4">
        <v>1</v>
      </c>
      <c r="V4">
        <v>1</v>
      </c>
    </row>
    <row r="5" spans="1:32" x14ac:dyDescent="0.2">
      <c r="A5">
        <v>4</v>
      </c>
    </row>
    <row r="6" spans="1:32" x14ac:dyDescent="0.2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2" x14ac:dyDescent="0.2">
      <c r="A9">
        <v>8</v>
      </c>
    </row>
    <row r="10" spans="1:32" x14ac:dyDescent="0.2">
      <c r="A10">
        <v>9</v>
      </c>
      <c r="H10">
        <v>1</v>
      </c>
      <c r="V10">
        <v>1</v>
      </c>
    </row>
    <row r="11" spans="1:32" x14ac:dyDescent="0.2">
      <c r="A11">
        <v>10</v>
      </c>
    </row>
    <row r="12" spans="1:32" x14ac:dyDescent="0.2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2" x14ac:dyDescent="0.2">
      <c r="A13">
        <v>12</v>
      </c>
    </row>
    <row r="14" spans="1:32" x14ac:dyDescent="0.2">
      <c r="A14">
        <v>13</v>
      </c>
    </row>
    <row r="15" spans="1:32" x14ac:dyDescent="0.2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2" x14ac:dyDescent="0.2">
      <c r="A16">
        <v>15</v>
      </c>
    </row>
    <row r="17" spans="1:31" x14ac:dyDescent="0.2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2">
      <c r="A18">
        <v>17</v>
      </c>
    </row>
    <row r="19" spans="1:31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2">
      <c r="A20">
        <v>19</v>
      </c>
    </row>
    <row r="21" spans="1:31" x14ac:dyDescent="0.2">
      <c r="A21">
        <v>20</v>
      </c>
      <c r="T21">
        <v>1</v>
      </c>
      <c r="U21">
        <v>1</v>
      </c>
      <c r="V21">
        <v>1</v>
      </c>
    </row>
    <row r="22" spans="1:31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">
      <c r="A23">
        <v>22</v>
      </c>
    </row>
    <row r="24" spans="1:31" x14ac:dyDescent="0.2">
      <c r="A24">
        <v>23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2">
      <c r="A27">
        <v>26</v>
      </c>
    </row>
    <row r="28" spans="1:31" x14ac:dyDescent="0.2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2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2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2">
      <c r="A31">
        <v>30</v>
      </c>
    </row>
    <row r="32" spans="1:31" x14ac:dyDescent="0.2">
      <c r="A32">
        <v>31</v>
      </c>
    </row>
    <row r="33" spans="1:31" x14ac:dyDescent="0.2">
      <c r="A33">
        <v>32</v>
      </c>
    </row>
    <row r="34" spans="1:31" x14ac:dyDescent="0.2">
      <c r="A34">
        <v>33</v>
      </c>
    </row>
    <row r="35" spans="1:31" x14ac:dyDescent="0.2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2">
      <c r="A36">
        <v>35</v>
      </c>
    </row>
    <row r="37" spans="1:31" x14ac:dyDescent="0.2">
      <c r="A37">
        <v>36</v>
      </c>
    </row>
    <row r="38" spans="1:31" x14ac:dyDescent="0.2">
      <c r="A38">
        <v>37</v>
      </c>
      <c r="E38">
        <v>1</v>
      </c>
    </row>
    <row r="39" spans="1:31" x14ac:dyDescent="0.2">
      <c r="A39">
        <v>38</v>
      </c>
    </row>
    <row r="40" spans="1:31" x14ac:dyDescent="0.2">
      <c r="A40">
        <v>39</v>
      </c>
    </row>
    <row r="41" spans="1:31" x14ac:dyDescent="0.2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2">
      <c r="A42">
        <v>41</v>
      </c>
    </row>
    <row r="43" spans="1:31" ht="16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AN22" sqref="AN2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Múlinn</v>
      </c>
      <c r="B2" s="4">
        <f>Events!J2</f>
        <v>46113</v>
      </c>
    </row>
    <row r="3" spans="1:43" x14ac:dyDescent="0.2">
      <c r="A3" t="str">
        <f>Events!B3</f>
        <v>RF</v>
      </c>
      <c r="B3" s="4">
        <f>Events!J3</f>
        <v>46113</v>
      </c>
    </row>
    <row r="4" spans="1:43" x14ac:dyDescent="0.2">
      <c r="A4" t="str">
        <f>Events!B4</f>
        <v>VH</v>
      </c>
      <c r="B4" s="4">
        <f>Events!J4</f>
        <v>46113</v>
      </c>
    </row>
    <row r="5" spans="1:43" x14ac:dyDescent="0.2">
      <c r="A5" t="str">
        <f>Events!B5</f>
        <v>RF</v>
      </c>
      <c r="B5" s="4">
        <f>Events!J5</f>
        <v>46114</v>
      </c>
    </row>
    <row r="6" spans="1:43" x14ac:dyDescent="0.2">
      <c r="A6" t="str">
        <f>Events!B6</f>
        <v>VH</v>
      </c>
      <c r="B6" s="4">
        <f>Events!J6</f>
        <v>46114</v>
      </c>
    </row>
    <row r="7" spans="1:43" x14ac:dyDescent="0.2">
      <c r="A7" t="str">
        <f>Events!B7</f>
        <v>VH</v>
      </c>
      <c r="B7" s="4">
        <f>Events!J7</f>
        <v>46116</v>
      </c>
    </row>
    <row r="8" spans="1:43" x14ac:dyDescent="0.2">
      <c r="A8" t="str">
        <f>Events!B8</f>
        <v>Múlinn</v>
      </c>
      <c r="B8" s="4">
        <f>Events!J8</f>
        <v>46120</v>
      </c>
    </row>
    <row r="9" spans="1:43" x14ac:dyDescent="0.2">
      <c r="A9" t="str">
        <f>Events!B9</f>
        <v>Sinfó</v>
      </c>
      <c r="B9" s="4">
        <f>Events!J9</f>
        <v>46121</v>
      </c>
    </row>
    <row r="10" spans="1:43" x14ac:dyDescent="0.2">
      <c r="A10" t="str">
        <f>Events!B10</f>
        <v>Sinfó</v>
      </c>
      <c r="B10" s="4">
        <f>Events!J10</f>
        <v>46122</v>
      </c>
    </row>
    <row r="11" spans="1:43" x14ac:dyDescent="0.2">
      <c r="A11" t="str">
        <f>Events!B11</f>
        <v>Sinfó</v>
      </c>
      <c r="B11" s="4">
        <f>Events!J11</f>
        <v>46123</v>
      </c>
    </row>
    <row r="12" spans="1:43" x14ac:dyDescent="0.2">
      <c r="A12" t="str">
        <f>Events!B12</f>
        <v>PL</v>
      </c>
      <c r="B12" s="4">
        <f>Events!J12</f>
        <v>46123</v>
      </c>
    </row>
    <row r="13" spans="1:43" x14ac:dyDescent="0.2">
      <c r="A13" t="str">
        <f>Events!B13</f>
        <v>Fam</v>
      </c>
      <c r="B13" s="4">
        <f>Events!J13</f>
        <v>46124</v>
      </c>
    </row>
    <row r="14" spans="1:43" x14ac:dyDescent="0.2">
      <c r="A14" t="str">
        <f>Events!B14</f>
        <v>Sinfó</v>
      </c>
      <c r="B14" s="4">
        <f>Events!J14</f>
        <v>46124</v>
      </c>
    </row>
    <row r="15" spans="1:43" x14ac:dyDescent="0.2">
      <c r="A15" t="str">
        <f>Events!B15</f>
        <v>Upprás</v>
      </c>
      <c r="B15" s="4">
        <f>Events!J15</f>
        <v>46126</v>
      </c>
    </row>
    <row r="16" spans="1:43" x14ac:dyDescent="0.2">
      <c r="A16" t="str">
        <f>Events!B16</f>
        <v>Múlinn</v>
      </c>
      <c r="B16" s="4">
        <f>Events!J16</f>
        <v>46127</v>
      </c>
    </row>
    <row r="17" spans="1:2" x14ac:dyDescent="0.2">
      <c r="A17" t="str">
        <f>Events!B17</f>
        <v>IA</v>
      </c>
      <c r="B17" s="4">
        <f>Events!J17</f>
        <v>46127</v>
      </c>
    </row>
    <row r="18" spans="1:2" x14ac:dyDescent="0.2">
      <c r="A18" t="str">
        <f>Events!B18</f>
        <v>Sinfó</v>
      </c>
      <c r="B18" s="4">
        <f>Events!J18</f>
        <v>46128</v>
      </c>
    </row>
    <row r="19" spans="1:2" x14ac:dyDescent="0.2">
      <c r="A19" t="str">
        <f>Events!B19</f>
        <v>MÍT</v>
      </c>
      <c r="B19" s="4">
        <f>Events!J19</f>
        <v>46128</v>
      </c>
    </row>
    <row r="20" spans="1:2" x14ac:dyDescent="0.2">
      <c r="A20" t="str">
        <f>Events!B20</f>
        <v>MÍT</v>
      </c>
      <c r="B20" s="4">
        <f>Events!J20</f>
        <v>46129</v>
      </c>
    </row>
    <row r="21" spans="1:2" x14ac:dyDescent="0.2">
      <c r="A21" t="str">
        <f>Events!B21</f>
        <v>MÍT</v>
      </c>
      <c r="B21" s="4">
        <f>Events!J21</f>
        <v>46130</v>
      </c>
    </row>
    <row r="22" spans="1:2" x14ac:dyDescent="0.2">
      <c r="A22" t="str">
        <f>Events!B22</f>
        <v>MÍT</v>
      </c>
      <c r="B22" s="4">
        <f>Events!J22</f>
        <v>46130</v>
      </c>
    </row>
    <row r="23" spans="1:2" x14ac:dyDescent="0.2">
      <c r="A23" t="str">
        <f>Events!B23</f>
        <v>MÍT</v>
      </c>
      <c r="B23" s="4">
        <f>Events!J23</f>
        <v>46128</v>
      </c>
    </row>
    <row r="24" spans="1:2" x14ac:dyDescent="0.2">
      <c r="A24" t="str">
        <f>Events!B24</f>
        <v>MÍT</v>
      </c>
      <c r="B24" s="4">
        <f>Events!J24</f>
        <v>46129</v>
      </c>
    </row>
    <row r="25" spans="1:2" x14ac:dyDescent="0.2">
      <c r="A25" t="str">
        <f>Events!B25</f>
        <v>MÍT</v>
      </c>
      <c r="B25" s="4">
        <f>Events!J25</f>
        <v>46130</v>
      </c>
    </row>
    <row r="26" spans="1:2" x14ac:dyDescent="0.2">
      <c r="A26" t="str">
        <f>Events!B26</f>
        <v>MÍT</v>
      </c>
      <c r="B26" s="4">
        <f>Events!J26</f>
        <v>46130</v>
      </c>
    </row>
    <row r="27" spans="1:2" x14ac:dyDescent="0.2">
      <c r="A27" t="str">
        <f>Events!B27</f>
        <v>NB</v>
      </c>
      <c r="B27" s="4">
        <f>Events!J27</f>
        <v>46129</v>
      </c>
    </row>
    <row r="28" spans="1:2" x14ac:dyDescent="0.2">
      <c r="A28" t="str">
        <f>Events!B28</f>
        <v>DWC</v>
      </c>
      <c r="B28" s="4">
        <f>Events!J28</f>
        <v>46130</v>
      </c>
    </row>
    <row r="29" spans="1:2" x14ac:dyDescent="0.2">
      <c r="A29" t="str">
        <f>Events!B29</f>
        <v>SÍ</v>
      </c>
      <c r="B29" s="4">
        <f>Events!J29</f>
        <v>46131</v>
      </c>
    </row>
    <row r="30" spans="1:2" x14ac:dyDescent="0.2">
      <c r="A30" t="str">
        <f>Events!B30</f>
        <v>KP</v>
      </c>
      <c r="B30" s="4">
        <f>Events!J30</f>
        <v>46131</v>
      </c>
    </row>
    <row r="31" spans="1:2" x14ac:dyDescent="0.2">
      <c r="A31" t="str">
        <f>Events!B31</f>
        <v>Barna dans</v>
      </c>
      <c r="B31" s="4">
        <f>Events!J31</f>
        <v>46133</v>
      </c>
    </row>
    <row r="32" spans="1:2" x14ac:dyDescent="0.2">
      <c r="A32" t="str">
        <f>Events!B32</f>
        <v>UpT</v>
      </c>
      <c r="B32" s="4">
        <f>Events!J32</f>
        <v>46134</v>
      </c>
    </row>
    <row r="33" spans="1:2" x14ac:dyDescent="0.2">
      <c r="A33" t="str">
        <f>Events!B33</f>
        <v>LR</v>
      </c>
      <c r="B33" s="4">
        <f>Events!J33</f>
        <v>46137</v>
      </c>
    </row>
    <row r="34" spans="1:2" x14ac:dyDescent="0.2">
      <c r="A34" t="str">
        <f>Events!B34</f>
        <v>FB</v>
      </c>
      <c r="B34" s="4">
        <f>Events!J34</f>
        <v>46141</v>
      </c>
    </row>
    <row r="35" spans="1:2" x14ac:dyDescent="0.2">
      <c r="A35" t="str">
        <f>Events!B35</f>
        <v>FB</v>
      </c>
      <c r="B35" s="4">
        <f>Events!J35</f>
        <v>46142</v>
      </c>
    </row>
    <row r="36" spans="1:2" x14ac:dyDescent="0.2">
      <c r="A36" t="str">
        <f>Events!B36</f>
        <v>SR</v>
      </c>
      <c r="B36" s="4">
        <f>Events!J36</f>
        <v>46134</v>
      </c>
    </row>
    <row r="37" spans="1:2" x14ac:dyDescent="0.2">
      <c r="A37" t="str">
        <f>Events!B37</f>
        <v>HT</v>
      </c>
      <c r="B37" s="4">
        <f>Events!J37</f>
        <v>46137</v>
      </c>
    </row>
    <row r="38" spans="1:2" x14ac:dyDescent="0.2">
      <c r="A38" t="str">
        <f>Events!B38</f>
        <v>K&amp;B</v>
      </c>
      <c r="B38" s="4">
        <f>Events!J38</f>
        <v>46137</v>
      </c>
    </row>
    <row r="39" spans="1:2" x14ac:dyDescent="0.2">
      <c r="A39" t="str">
        <f>Events!B39</f>
        <v>Múlinn</v>
      </c>
      <c r="B39" s="4">
        <f>Events!J39</f>
        <v>46134</v>
      </c>
    </row>
    <row r="40" spans="1:2" x14ac:dyDescent="0.2">
      <c r="A40" t="str">
        <f>Events!B40</f>
        <v>Múlinn</v>
      </c>
      <c r="B40" s="4">
        <f>Events!J40</f>
        <v>46141</v>
      </c>
    </row>
    <row r="41" spans="1:2" x14ac:dyDescent="0.2">
      <c r="A41" t="str">
        <f>Events!B41</f>
        <v>KV</v>
      </c>
      <c r="B41" s="4">
        <f>Events!J41</f>
        <v>46132</v>
      </c>
    </row>
    <row r="42" spans="1:2" x14ac:dyDescent="0.2">
      <c r="A42" t="str">
        <f>Events!B42</f>
        <v>Sinfó</v>
      </c>
      <c r="B42" s="4">
        <f>Events!J42</f>
        <v>46136</v>
      </c>
    </row>
    <row r="43" spans="1:2" x14ac:dyDescent="0.2">
      <c r="A43" t="str">
        <f>Events!B43</f>
        <v>DP</v>
      </c>
      <c r="B43" s="4">
        <f>Events!J43</f>
        <v>46137</v>
      </c>
    </row>
    <row r="44" spans="1:2" x14ac:dyDescent="0.2">
      <c r="A44" t="str">
        <f>Events!B44</f>
        <v>VR</v>
      </c>
      <c r="B44" s="4">
        <f>Events!J44</f>
        <v>46138</v>
      </c>
    </row>
    <row r="45" spans="1:2" x14ac:dyDescent="0.2">
      <c r="A45" t="str">
        <f>Events!B45</f>
        <v>Sinfó</v>
      </c>
      <c r="B45" s="4">
        <f>Events!J45</f>
        <v>46142</v>
      </c>
    </row>
    <row r="46" spans="1:2" x14ac:dyDescent="0.2">
      <c r="A46" t="str">
        <f>Events!B46</f>
        <v>SR</v>
      </c>
      <c r="B46" s="4">
        <f>Events!J46</f>
        <v>46136</v>
      </c>
    </row>
    <row r="47" spans="1:2" x14ac:dyDescent="0.2">
      <c r="B47" s="4"/>
    </row>
    <row r="48" spans="1:2" x14ac:dyDescent="0.2">
      <c r="B48" s="4"/>
    </row>
    <row r="49" spans="2:2" x14ac:dyDescent="0.2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sqref="A1:C1048576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37</v>
      </c>
      <c r="B1" s="1" t="s">
        <v>38</v>
      </c>
      <c r="C1" s="1" t="s">
        <v>39</v>
      </c>
    </row>
    <row r="2" spans="1:5" x14ac:dyDescent="0.2">
      <c r="A2" t="s">
        <v>40</v>
      </c>
      <c r="B2">
        <v>0</v>
      </c>
      <c r="C2">
        <v>50</v>
      </c>
    </row>
    <row r="3" spans="1:5" x14ac:dyDescent="0.2">
      <c r="A3" t="s">
        <v>40</v>
      </c>
      <c r="B3">
        <v>1</v>
      </c>
      <c r="C3">
        <v>30</v>
      </c>
    </row>
    <row r="4" spans="1:5" x14ac:dyDescent="0.2">
      <c r="A4" t="s">
        <v>40</v>
      </c>
      <c r="B4">
        <v>2</v>
      </c>
      <c r="C4">
        <v>15</v>
      </c>
    </row>
    <row r="5" spans="1:5" x14ac:dyDescent="0.2">
      <c r="A5" t="s">
        <v>40</v>
      </c>
      <c r="B5">
        <v>3</v>
      </c>
      <c r="C5">
        <v>-10</v>
      </c>
    </row>
    <row r="6" spans="1:5" x14ac:dyDescent="0.2">
      <c r="A6" t="s">
        <v>40</v>
      </c>
      <c r="B6">
        <v>4</v>
      </c>
      <c r="C6">
        <v>-50</v>
      </c>
    </row>
    <row r="7" spans="1:5" x14ac:dyDescent="0.2">
      <c r="A7" t="s">
        <v>41</v>
      </c>
      <c r="B7">
        <v>0</v>
      </c>
      <c r="C7">
        <v>50</v>
      </c>
      <c r="E7" s="3"/>
    </row>
    <row r="8" spans="1:5" x14ac:dyDescent="0.2">
      <c r="A8" t="s">
        <v>41</v>
      </c>
      <c r="B8">
        <v>1</v>
      </c>
      <c r="C8">
        <v>25</v>
      </c>
    </row>
    <row r="9" spans="1:5" x14ac:dyDescent="0.2">
      <c r="A9" t="s">
        <v>41</v>
      </c>
      <c r="B9">
        <v>2</v>
      </c>
      <c r="C9">
        <v>0</v>
      </c>
    </row>
    <row r="10" spans="1:5" x14ac:dyDescent="0.2">
      <c r="A10" t="s">
        <v>41</v>
      </c>
      <c r="B10">
        <v>3</v>
      </c>
      <c r="C10">
        <v>-25</v>
      </c>
    </row>
    <row r="11" spans="1:5" x14ac:dyDescent="0.2">
      <c r="A11" t="s">
        <v>41</v>
      </c>
      <c r="B11">
        <v>4</v>
      </c>
      <c r="C11">
        <v>-50</v>
      </c>
    </row>
    <row r="12" spans="1:5" x14ac:dyDescent="0.2">
      <c r="A12" t="s">
        <v>41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42</v>
      </c>
      <c r="B20">
        <v>0</v>
      </c>
      <c r="C20">
        <v>10</v>
      </c>
    </row>
    <row r="21" spans="1:3" x14ac:dyDescent="0.2">
      <c r="A21" t="s">
        <v>42</v>
      </c>
      <c r="B21">
        <v>1</v>
      </c>
      <c r="C21">
        <v>-10</v>
      </c>
    </row>
    <row r="22" spans="1:3" x14ac:dyDescent="0.2">
      <c r="A22" t="s">
        <v>42</v>
      </c>
      <c r="B22">
        <v>2</v>
      </c>
      <c r="C22">
        <v>-20</v>
      </c>
    </row>
    <row r="23" spans="1:3" x14ac:dyDescent="0.2">
      <c r="A23" t="s">
        <v>42</v>
      </c>
      <c r="B23">
        <v>3</v>
      </c>
      <c r="C23">
        <v>-40</v>
      </c>
    </row>
    <row r="24" spans="1:3" x14ac:dyDescent="0.2">
      <c r="A24" t="s">
        <v>42</v>
      </c>
      <c r="B24">
        <v>4</v>
      </c>
      <c r="C24">
        <v>-80</v>
      </c>
    </row>
    <row r="25" spans="1:3" x14ac:dyDescent="0.2">
      <c r="A25" t="s">
        <v>42</v>
      </c>
      <c r="B25">
        <v>5</v>
      </c>
      <c r="C25">
        <v>-160</v>
      </c>
    </row>
    <row r="26" spans="1:3" x14ac:dyDescent="0.2">
      <c r="A26" t="s">
        <v>43</v>
      </c>
      <c r="B26">
        <v>1</v>
      </c>
      <c r="C26">
        <v>-1</v>
      </c>
    </row>
    <row r="27" spans="1:3" x14ac:dyDescent="0.2">
      <c r="A27" t="s">
        <v>43</v>
      </c>
      <c r="B27">
        <v>2</v>
      </c>
      <c r="C27">
        <f>+C26*2</f>
        <v>-2</v>
      </c>
    </row>
    <row r="28" spans="1:3" x14ac:dyDescent="0.2">
      <c r="A28" t="s">
        <v>43</v>
      </c>
      <c r="B28">
        <v>3</v>
      </c>
      <c r="C28">
        <f>+C27*2</f>
        <v>-4</v>
      </c>
    </row>
    <row r="29" spans="1:3" x14ac:dyDescent="0.2">
      <c r="A29" t="s">
        <v>43</v>
      </c>
      <c r="B29">
        <v>4</v>
      </c>
      <c r="C29">
        <f>+C28*2</f>
        <v>-8</v>
      </c>
    </row>
    <row r="30" spans="1:3" x14ac:dyDescent="0.2">
      <c r="A30" t="s">
        <v>44</v>
      </c>
      <c r="B30">
        <v>1</v>
      </c>
      <c r="C30">
        <v>-50</v>
      </c>
    </row>
    <row r="31" spans="1:3" x14ac:dyDescent="0.2">
      <c r="A31" t="s">
        <v>47</v>
      </c>
      <c r="B31">
        <v>1</v>
      </c>
      <c r="C31">
        <v>65</v>
      </c>
    </row>
    <row r="32" spans="1:3" x14ac:dyDescent="0.2">
      <c r="A32" t="s">
        <v>48</v>
      </c>
      <c r="B32">
        <v>0</v>
      </c>
      <c r="C32">
        <v>20</v>
      </c>
    </row>
    <row r="33" spans="1:3" x14ac:dyDescent="0.2">
      <c r="A33" t="s">
        <v>48</v>
      </c>
      <c r="B33">
        <v>1</v>
      </c>
      <c r="C33">
        <v>0</v>
      </c>
    </row>
    <row r="34" spans="1:3" x14ac:dyDescent="0.2">
      <c r="A34" t="s">
        <v>48</v>
      </c>
      <c r="B34">
        <v>2</v>
      </c>
      <c r="C34">
        <v>-20</v>
      </c>
    </row>
    <row r="35" spans="1:3" x14ac:dyDescent="0.2">
      <c r="A35" t="s">
        <v>48</v>
      </c>
      <c r="B35">
        <v>3</v>
      </c>
      <c r="C35">
        <v>-60</v>
      </c>
    </row>
    <row r="36" spans="1:3" x14ac:dyDescent="0.2">
      <c r="A36" t="s">
        <v>48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P36" sqref="P36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45</v>
      </c>
      <c r="B1" s="1" t="s">
        <v>46</v>
      </c>
      <c r="C1" s="1" t="s">
        <v>39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E21" sqref="E21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32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33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34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34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36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36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33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35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33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35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36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36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35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36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33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2026-05-04T11:16:56Z</dcterms:modified>
</cp:coreProperties>
</file>