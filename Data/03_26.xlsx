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ja\Downloads\"/>
    </mc:Choice>
  </mc:AlternateContent>
  <xr:revisionPtr revIDLastSave="0" documentId="8_{0CDB1FB2-C71F-4021-9F2C-FCA963A4F22C}" xr6:coauthVersionLast="47" xr6:coauthVersionMax="47" xr10:uidLastSave="{00000000-0000-0000-0000-000000000000}"/>
  <bookViews>
    <workbookView xWindow="-110" yWindow="-110" windowWidth="19420" windowHeight="11500" activeTab="5" xr2:uid="{7CFC1604-4118-4D2C-86E1-DDF4E62B5004}"/>
  </bookViews>
  <sheets>
    <sheet name="Events" sheetId="3" r:id="rId1"/>
    <sheet name="Employees" sheetId="2" r:id="rId2"/>
    <sheet name="DaysOff" sheetId="4" r:id="rId3"/>
    <sheet name="EventReq" sheetId="9" r:id="rId4"/>
    <sheet name="ScoreKeys" sheetId="7" r:id="rId5"/>
    <sheet name="SkillsetScores" sheetId="8" r:id="rId6"/>
    <sheet name="EventType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" i="9" l="1"/>
  <c r="AP1" i="9"/>
  <c r="AO1" i="9"/>
  <c r="AN1" i="9"/>
  <c r="AM1" i="9"/>
  <c r="AL1" i="9"/>
  <c r="AK1" i="9"/>
  <c r="B32" i="9"/>
  <c r="B33" i="9"/>
  <c r="B34" i="9"/>
  <c r="B35" i="9"/>
  <c r="B36" i="9"/>
  <c r="B37" i="9"/>
  <c r="B38" i="9"/>
  <c r="B39" i="9"/>
  <c r="B40" i="9"/>
  <c r="B41" i="9"/>
  <c r="B42" i="9"/>
  <c r="B43" i="9"/>
  <c r="A32" i="9"/>
  <c r="A33" i="9"/>
  <c r="A34" i="9"/>
  <c r="A35" i="9"/>
  <c r="A36" i="9"/>
  <c r="A37" i="9"/>
  <c r="A38" i="9"/>
  <c r="A39" i="9"/>
  <c r="A40" i="9"/>
  <c r="A41" i="9"/>
  <c r="A42" i="9"/>
  <c r="A43" i="9"/>
  <c r="AJ1" i="9"/>
  <c r="AI1" i="9"/>
  <c r="AG1" i="9"/>
  <c r="AH1" i="9"/>
  <c r="AF1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" i="9"/>
  <c r="A4" i="9"/>
  <c r="A5" i="9"/>
  <c r="B2" i="9"/>
  <c r="H43" i="3" l="1"/>
  <c r="F43" i="3"/>
  <c r="E43" i="3"/>
  <c r="D43" i="3"/>
  <c r="H42" i="3"/>
  <c r="F42" i="3"/>
  <c r="E42" i="3"/>
  <c r="D42" i="3"/>
  <c r="H41" i="3"/>
  <c r="G41" i="3"/>
  <c r="F41" i="3"/>
  <c r="E41" i="3"/>
  <c r="D41" i="3"/>
  <c r="H40" i="3"/>
  <c r="G40" i="3"/>
  <c r="F40" i="3"/>
  <c r="E40" i="3"/>
  <c r="D40" i="3"/>
  <c r="H39" i="3"/>
  <c r="F39" i="3"/>
  <c r="E39" i="3"/>
  <c r="D39" i="3"/>
  <c r="H38" i="3"/>
  <c r="G38" i="3"/>
  <c r="F38" i="3"/>
  <c r="E38" i="3"/>
  <c r="D38" i="3"/>
  <c r="H37" i="3"/>
  <c r="F37" i="3"/>
  <c r="E37" i="3"/>
  <c r="D37" i="3"/>
  <c r="H36" i="3"/>
  <c r="F36" i="3"/>
  <c r="E36" i="3"/>
  <c r="D36" i="3"/>
  <c r="H35" i="3"/>
  <c r="F35" i="3"/>
  <c r="E35" i="3"/>
  <c r="D35" i="3"/>
  <c r="H34" i="3"/>
  <c r="F34" i="3"/>
  <c r="E34" i="3"/>
  <c r="D34" i="3"/>
  <c r="H33" i="3"/>
  <c r="F33" i="3"/>
  <c r="E33" i="3"/>
  <c r="D33" i="3"/>
  <c r="H32" i="3"/>
  <c r="G32" i="3"/>
  <c r="F32" i="3"/>
  <c r="E32" i="3"/>
  <c r="D32" i="3"/>
  <c r="H31" i="3"/>
  <c r="G31" i="3"/>
  <c r="F31" i="3"/>
  <c r="E31" i="3"/>
  <c r="D31" i="3"/>
  <c r="H30" i="3"/>
  <c r="G30" i="3"/>
  <c r="F30" i="3"/>
  <c r="E30" i="3"/>
  <c r="D30" i="3"/>
  <c r="H29" i="3"/>
  <c r="F29" i="3"/>
  <c r="E29" i="3"/>
  <c r="D29" i="3"/>
  <c r="H28" i="3"/>
  <c r="G28" i="3"/>
  <c r="F28" i="3"/>
  <c r="E28" i="3"/>
  <c r="D28" i="3"/>
  <c r="H27" i="3"/>
  <c r="G27" i="3"/>
  <c r="F27" i="3"/>
  <c r="E27" i="3"/>
  <c r="D27" i="3"/>
  <c r="H26" i="3"/>
  <c r="G26" i="3"/>
  <c r="F26" i="3"/>
  <c r="E26" i="3"/>
  <c r="D26" i="3"/>
  <c r="H25" i="3"/>
  <c r="G25" i="3"/>
  <c r="F25" i="3"/>
  <c r="E25" i="3"/>
  <c r="D25" i="3"/>
  <c r="D2" i="3"/>
  <c r="E2" i="3"/>
  <c r="F2" i="3"/>
  <c r="G2" i="3"/>
  <c r="H2" i="3"/>
  <c r="D3" i="3"/>
  <c r="E3" i="3"/>
  <c r="F3" i="3"/>
  <c r="H3" i="3"/>
  <c r="D4" i="3"/>
  <c r="E4" i="3"/>
  <c r="F4" i="3"/>
  <c r="G4" i="3"/>
  <c r="H4" i="3"/>
  <c r="D5" i="3"/>
  <c r="E5" i="3"/>
  <c r="F5" i="3"/>
  <c r="H5" i="3"/>
  <c r="D6" i="3"/>
  <c r="E6" i="3"/>
  <c r="F6" i="3"/>
  <c r="G6" i="3"/>
  <c r="H6" i="3"/>
  <c r="D7" i="3"/>
  <c r="E7" i="3"/>
  <c r="F7" i="3"/>
  <c r="G7" i="3"/>
  <c r="H7" i="3"/>
  <c r="D8" i="3"/>
  <c r="E8" i="3"/>
  <c r="F8" i="3"/>
  <c r="G8" i="3"/>
  <c r="H8" i="3"/>
  <c r="D9" i="3"/>
  <c r="E9" i="3"/>
  <c r="F9" i="3"/>
  <c r="G9" i="3"/>
  <c r="H9" i="3"/>
  <c r="I9" i="3"/>
  <c r="D10" i="3"/>
  <c r="E10" i="3"/>
  <c r="F10" i="3"/>
  <c r="G10" i="3"/>
  <c r="H10" i="3"/>
  <c r="D11" i="3"/>
  <c r="E11" i="3"/>
  <c r="F11" i="3"/>
  <c r="G11" i="3"/>
  <c r="H11" i="3"/>
  <c r="D12" i="3"/>
  <c r="E12" i="3"/>
  <c r="F12" i="3"/>
  <c r="H12" i="3"/>
  <c r="D13" i="3"/>
  <c r="E13" i="3"/>
  <c r="F13" i="3"/>
  <c r="G13" i="3"/>
  <c r="H13" i="3"/>
  <c r="D14" i="3"/>
  <c r="E14" i="3"/>
  <c r="F14" i="3"/>
  <c r="H14" i="3"/>
  <c r="D15" i="3"/>
  <c r="E15" i="3"/>
  <c r="F15" i="3"/>
  <c r="G15" i="3"/>
  <c r="H15" i="3"/>
  <c r="D16" i="3"/>
  <c r="E16" i="3"/>
  <c r="F16" i="3"/>
  <c r="G16" i="3"/>
  <c r="H16" i="3"/>
  <c r="D17" i="3"/>
  <c r="E17" i="3"/>
  <c r="F17" i="3"/>
  <c r="H17" i="3"/>
  <c r="D18" i="3"/>
  <c r="E18" i="3"/>
  <c r="F18" i="3"/>
  <c r="H18" i="3"/>
  <c r="D19" i="3"/>
  <c r="E19" i="3"/>
  <c r="F19" i="3"/>
  <c r="H19" i="3"/>
  <c r="D20" i="3"/>
  <c r="E20" i="3"/>
  <c r="F20" i="3"/>
  <c r="H20" i="3"/>
  <c r="D21" i="3"/>
  <c r="E21" i="3"/>
  <c r="F21" i="3"/>
  <c r="H21" i="3"/>
  <c r="D22" i="3"/>
  <c r="E22" i="3"/>
  <c r="F22" i="3"/>
  <c r="H22" i="3"/>
  <c r="D23" i="3"/>
  <c r="E23" i="3"/>
  <c r="F23" i="3"/>
  <c r="H23" i="3"/>
  <c r="D24" i="3"/>
  <c r="E24" i="3"/>
  <c r="F24" i="3"/>
  <c r="G24" i="3"/>
  <c r="H24" i="3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2" i="9"/>
  <c r="A1" i="9"/>
  <c r="C27" i="7"/>
  <c r="C28" i="7" s="1"/>
  <c r="C29" i="7" s="1"/>
</calcChain>
</file>

<file path=xl/sharedStrings.xml><?xml version="1.0" encoding="utf-8"?>
<sst xmlns="http://schemas.openxmlformats.org/spreadsheetml/2006/main" count="234" uniqueCount="111">
  <si>
    <t>Event</t>
  </si>
  <si>
    <t>Hall</t>
  </si>
  <si>
    <t>EB</t>
  </si>
  <si>
    <t>KL</t>
  </si>
  <si>
    <t>BL</t>
  </si>
  <si>
    <t>SB</t>
  </si>
  <si>
    <t>NL</t>
  </si>
  <si>
    <t>Múlinn</t>
  </si>
  <si>
    <t>Sinfó</t>
  </si>
  <si>
    <t>How To</t>
  </si>
  <si>
    <t>Date</t>
  </si>
  <si>
    <t>Sígildir</t>
  </si>
  <si>
    <t>Partý EB</t>
  </si>
  <si>
    <t>Partý SB</t>
  </si>
  <si>
    <t>Fatahengi</t>
  </si>
  <si>
    <t>Barna EB</t>
  </si>
  <si>
    <t>Barna KL</t>
  </si>
  <si>
    <t>Party NL</t>
  </si>
  <si>
    <t>HH</t>
  </si>
  <si>
    <t>EventType</t>
  </si>
  <si>
    <t>Skillset1</t>
  </si>
  <si>
    <t>Skillset2</t>
  </si>
  <si>
    <t>Employees</t>
  </si>
  <si>
    <t>ShiftBegins</t>
  </si>
  <si>
    <t>ShiftEnds</t>
  </si>
  <si>
    <t>EventID</t>
  </si>
  <si>
    <t>EventRanking</t>
  </si>
  <si>
    <t>Skillset</t>
  </si>
  <si>
    <t>K&amp;B</t>
  </si>
  <si>
    <t>EmployeeID</t>
  </si>
  <si>
    <t>EmployeeName</t>
  </si>
  <si>
    <t>EventCategory</t>
  </si>
  <si>
    <t>Solo</t>
  </si>
  <si>
    <t>Barna</t>
  </si>
  <si>
    <t>Party</t>
  </si>
  <si>
    <t>Basic</t>
  </si>
  <si>
    <t>RuleType</t>
  </si>
  <si>
    <t>Key</t>
  </si>
  <si>
    <t>Score</t>
  </si>
  <si>
    <t>Weekend</t>
  </si>
  <si>
    <t>Weekend_last_period</t>
  </si>
  <si>
    <t>Shifts_this_week</t>
  </si>
  <si>
    <t>Shifs_this_length</t>
  </si>
  <si>
    <t>Shift_over_six_hours</t>
  </si>
  <si>
    <t>ReqSkillset</t>
  </si>
  <si>
    <t>EmpSkillset</t>
  </si>
  <si>
    <t>Req_this_shift</t>
  </si>
  <si>
    <t>Category</t>
  </si>
  <si>
    <t xml:space="preserve">Alda/ Miðó </t>
  </si>
  <si>
    <t xml:space="preserve">Anna Soffía </t>
  </si>
  <si>
    <t>Arnar Ragn</t>
  </si>
  <si>
    <t xml:space="preserve">Auður </t>
  </si>
  <si>
    <t xml:space="preserve">Elísabet </t>
  </si>
  <si>
    <t xml:space="preserve">Elmar </t>
  </si>
  <si>
    <t xml:space="preserve">Erna </t>
  </si>
  <si>
    <t xml:space="preserve">Gaukur </t>
  </si>
  <si>
    <t>Gréta</t>
  </si>
  <si>
    <t xml:space="preserve">Guðný  </t>
  </si>
  <si>
    <t xml:space="preserve">Hólmfríður </t>
  </si>
  <si>
    <t>Hrafnkell</t>
  </si>
  <si>
    <t xml:space="preserve">Hrannar </t>
  </si>
  <si>
    <t xml:space="preserve">Jórunn  </t>
  </si>
  <si>
    <t>Katrín Hel</t>
  </si>
  <si>
    <t xml:space="preserve">Katrín Sig </t>
  </si>
  <si>
    <t xml:space="preserve">Laufey </t>
  </si>
  <si>
    <t xml:space="preserve">Magnús  </t>
  </si>
  <si>
    <t>Orri</t>
  </si>
  <si>
    <t xml:space="preserve">Rut </t>
  </si>
  <si>
    <t>Sara B</t>
  </si>
  <si>
    <t xml:space="preserve">Sara Júlía </t>
  </si>
  <si>
    <t xml:space="preserve">Selma </t>
  </si>
  <si>
    <t xml:space="preserve">Sigríður </t>
  </si>
  <si>
    <t>Sveinn</t>
  </si>
  <si>
    <t xml:space="preserve">Sæmundur </t>
  </si>
  <si>
    <t xml:space="preserve">Valdís </t>
  </si>
  <si>
    <t xml:space="preserve">Védís </t>
  </si>
  <si>
    <t xml:space="preserve">Unnar </t>
  </si>
  <si>
    <t>Ömmi</t>
  </si>
  <si>
    <t xml:space="preserve">Arnar </t>
  </si>
  <si>
    <t xml:space="preserve">Róbert </t>
  </si>
  <si>
    <t xml:space="preserve">Jara </t>
  </si>
  <si>
    <t xml:space="preserve">Þórey </t>
  </si>
  <si>
    <t>RF</t>
  </si>
  <si>
    <t>Fam</t>
  </si>
  <si>
    <t>HT</t>
  </si>
  <si>
    <t>JS</t>
  </si>
  <si>
    <t>Tón</t>
  </si>
  <si>
    <t>RMF</t>
  </si>
  <si>
    <t>HAM</t>
  </si>
  <si>
    <t>IS</t>
  </si>
  <si>
    <t>PD</t>
  </si>
  <si>
    <t>GB</t>
  </si>
  <si>
    <t>ITV</t>
  </si>
  <si>
    <t>DS</t>
  </si>
  <si>
    <t>MT</t>
  </si>
  <si>
    <t>PF</t>
  </si>
  <si>
    <t>RP</t>
  </si>
  <si>
    <t>EÁ</t>
  </si>
  <si>
    <t>UR</t>
  </si>
  <si>
    <t>KD</t>
  </si>
  <si>
    <t>JN</t>
  </si>
  <si>
    <t>Svef</t>
  </si>
  <si>
    <t>tón</t>
  </si>
  <si>
    <t>ÖL</t>
  </si>
  <si>
    <t>Agnes Anna</t>
  </si>
  <si>
    <t>Ágústa</t>
  </si>
  <si>
    <t>Daníel</t>
  </si>
  <si>
    <t>Magnea</t>
  </si>
  <si>
    <t>Margrét Lára</t>
  </si>
  <si>
    <t>Palli</t>
  </si>
  <si>
    <t>Vero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</si>
</sst>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C5EB-2E56-4141-9621-F1338A9E2497}">
  <dimension ref="A1:L63"/>
  <sheetViews>
    <sheetView zoomScale="91" zoomScaleNormal="100" workbookViewId="0">
      <selection activeCell="E21" sqref="E21"/>
    </sheetView>
  </sheetViews>
  <sheetFormatPr defaultColWidth="8.81640625" defaultRowHeight="14.5" x14ac:dyDescent="0.35"/>
  <cols>
    <col min="2" max="2" width="13.453125" bestFit="1" customWidth="1"/>
    <col min="3" max="3" width="11.81640625" customWidth="1"/>
    <col min="4" max="4" width="12.81640625" bestFit="1" customWidth="1"/>
    <col min="5" max="5" width="11.81640625" customWidth="1"/>
    <col min="9" max="11" width="10.1796875" bestFit="1" customWidth="1"/>
    <col min="12" max="12" width="9.6328125" bestFit="1" customWidth="1"/>
  </cols>
  <sheetData>
    <row r="1" spans="1:12" x14ac:dyDescent="0.35">
      <c r="A1" s="1" t="s">
        <v>25</v>
      </c>
      <c r="B1" s="1" t="s">
        <v>0</v>
      </c>
      <c r="C1" s="1" t="s">
        <v>19</v>
      </c>
      <c r="D1" s="1" t="s">
        <v>31</v>
      </c>
      <c r="E1" s="1" t="s">
        <v>26</v>
      </c>
      <c r="F1" s="1" t="s">
        <v>1</v>
      </c>
      <c r="G1" s="1" t="s">
        <v>20</v>
      </c>
      <c r="H1" s="1" t="s">
        <v>21</v>
      </c>
      <c r="I1" s="1" t="s">
        <v>22</v>
      </c>
      <c r="J1" s="1" t="s">
        <v>10</v>
      </c>
      <c r="K1" s="1" t="s">
        <v>23</v>
      </c>
      <c r="L1" s="1" t="s">
        <v>24</v>
      </c>
    </row>
    <row r="2" spans="1:12" x14ac:dyDescent="0.35">
      <c r="A2">
        <v>1</v>
      </c>
      <c r="B2" t="s">
        <v>85</v>
      </c>
      <c r="C2" t="s">
        <v>2</v>
      </c>
      <c r="D2" t="str">
        <f>_xlfn.XLOOKUP(C2,EventTypes!A:A,EventTypes!B:B,"")</f>
        <v>Basic</v>
      </c>
      <c r="E2">
        <f>_xlfn.XLOOKUP(C2,EventTypes!A:A,EventTypes!D:D,"")</f>
        <v>70</v>
      </c>
      <c r="F2" t="str">
        <f>_xlfn.XLOOKUP(C2,EventTypes!A:A,EventTypes!C:C,"")</f>
        <v>EB</v>
      </c>
      <c r="G2">
        <f>_xlfn.XLOOKUP(C2,EventTypes!A:A,EventTypes!E:E,"")</f>
        <v>1</v>
      </c>
      <c r="H2">
        <f>_xlfn.XLOOKUP(C2,EventTypes!A:A,EventTypes!F:F,"")</f>
        <v>4</v>
      </c>
      <c r="I2">
        <v>10</v>
      </c>
      <c r="J2" s="4">
        <v>46082</v>
      </c>
      <c r="K2" s="5">
        <v>0.70833333333333337</v>
      </c>
      <c r="L2" s="5">
        <v>0.83333333333333337</v>
      </c>
    </row>
    <row r="3" spans="1:12" x14ac:dyDescent="0.35">
      <c r="A3">
        <v>2</v>
      </c>
      <c r="B3" t="s">
        <v>8</v>
      </c>
      <c r="C3" t="s">
        <v>8</v>
      </c>
      <c r="D3" t="str">
        <f>_xlfn.XLOOKUP(C3,EventTypes!A:A,EventTypes!B:B,"")</f>
        <v>Basic</v>
      </c>
      <c r="E3">
        <f>_xlfn.XLOOKUP(C3,EventTypes!A:A,EventTypes!D:D,"")</f>
        <v>50</v>
      </c>
      <c r="F3" t="str">
        <f>_xlfn.XLOOKUP(C3,EventTypes!A:A,EventTypes!C:C,"")</f>
        <v>EB</v>
      </c>
      <c r="G3">
        <v>1</v>
      </c>
      <c r="H3">
        <f>_xlfn.XLOOKUP(C3,EventTypes!A:A,EventTypes!F:F,"")</f>
        <v>3</v>
      </c>
      <c r="I3">
        <v>12</v>
      </c>
      <c r="J3" s="4">
        <v>46086</v>
      </c>
      <c r="K3" s="5">
        <v>0.77083333333333337</v>
      </c>
      <c r="L3" s="5">
        <v>0.89583333333333337</v>
      </c>
    </row>
    <row r="4" spans="1:12" x14ac:dyDescent="0.35">
      <c r="A4">
        <v>3</v>
      </c>
      <c r="B4" t="s">
        <v>86</v>
      </c>
      <c r="C4" t="s">
        <v>3</v>
      </c>
      <c r="D4" t="str">
        <f>_xlfn.XLOOKUP(C4,EventTypes!A:A,EventTypes!B:B,"")</f>
        <v>Basic</v>
      </c>
      <c r="E4">
        <f>_xlfn.XLOOKUP(C4,EventTypes!A:A,EventTypes!D:D,"")</f>
        <v>40</v>
      </c>
      <c r="F4" t="str">
        <f>_xlfn.XLOOKUP(C4,EventTypes!A:A,EventTypes!C:C,"")</f>
        <v>KL</v>
      </c>
      <c r="G4">
        <f>_xlfn.XLOOKUP(C4,EventTypes!A:A,EventTypes!E:E,"")</f>
        <v>0</v>
      </c>
      <c r="H4">
        <f>_xlfn.XLOOKUP(C4,EventTypes!A:A,EventTypes!F:F,"")</f>
        <v>1</v>
      </c>
      <c r="I4">
        <v>1</v>
      </c>
      <c r="J4" s="4">
        <v>46086</v>
      </c>
      <c r="K4" s="5">
        <v>0.79166666666666663</v>
      </c>
      <c r="L4" s="5">
        <v>0.91666666666666663</v>
      </c>
    </row>
    <row r="5" spans="1:12" x14ac:dyDescent="0.35">
      <c r="A5">
        <v>4</v>
      </c>
      <c r="B5" t="s">
        <v>87</v>
      </c>
      <c r="C5" t="s">
        <v>6</v>
      </c>
      <c r="D5" t="str">
        <f>_xlfn.XLOOKUP(C5,EventTypes!A:A,EventTypes!B:B,"")</f>
        <v>Basic</v>
      </c>
      <c r="E5">
        <f>_xlfn.XLOOKUP(C5,EventTypes!A:A,EventTypes!D:D,"")</f>
        <v>80</v>
      </c>
      <c r="F5" t="str">
        <f>_xlfn.XLOOKUP(C5,EventTypes!A:A,EventTypes!C:C,"")</f>
        <v>NL</v>
      </c>
      <c r="G5">
        <v>1</v>
      </c>
      <c r="H5">
        <f>_xlfn.XLOOKUP(C5,EventTypes!A:A,EventTypes!F:F,"")</f>
        <v>0</v>
      </c>
      <c r="I5">
        <v>3</v>
      </c>
      <c r="J5" s="4">
        <v>46087</v>
      </c>
      <c r="K5" s="5">
        <v>0.77083333333333337</v>
      </c>
      <c r="L5" s="5">
        <v>0.875</v>
      </c>
    </row>
    <row r="6" spans="1:12" x14ac:dyDescent="0.35">
      <c r="A6">
        <v>5</v>
      </c>
      <c r="B6" t="s">
        <v>88</v>
      </c>
      <c r="C6" t="s">
        <v>12</v>
      </c>
      <c r="D6" t="str">
        <f>_xlfn.XLOOKUP(C6,EventTypes!A:A,EventTypes!B:B,"")</f>
        <v>Party</v>
      </c>
      <c r="E6">
        <f>_xlfn.XLOOKUP(C6,EventTypes!A:A,EventTypes!D:D,"")</f>
        <v>50</v>
      </c>
      <c r="F6" t="str">
        <f>_xlfn.XLOOKUP(C6,EventTypes!A:A,EventTypes!C:C,"")</f>
        <v>EB</v>
      </c>
      <c r="G6">
        <f>_xlfn.XLOOKUP(C6,EventTypes!A:A,EventTypes!E:E,"")</f>
        <v>1</v>
      </c>
      <c r="H6">
        <f>_xlfn.XLOOKUP(C6,EventTypes!A:A,EventTypes!F:F,"")</f>
        <v>6</v>
      </c>
      <c r="I6">
        <v>11</v>
      </c>
      <c r="J6" s="4">
        <v>46087</v>
      </c>
      <c r="K6" s="5">
        <v>0.79166666666666663</v>
      </c>
      <c r="L6" s="5">
        <v>0.95833333333333337</v>
      </c>
    </row>
    <row r="7" spans="1:12" x14ac:dyDescent="0.35">
      <c r="A7">
        <v>6</v>
      </c>
      <c r="B7" t="s">
        <v>89</v>
      </c>
      <c r="C7" t="s">
        <v>2</v>
      </c>
      <c r="D7" t="str">
        <f>_xlfn.XLOOKUP(C7,EventTypes!A:A,EventTypes!B:B,"")</f>
        <v>Basic</v>
      </c>
      <c r="E7">
        <f>_xlfn.XLOOKUP(C7,EventTypes!A:A,EventTypes!D:D,"")</f>
        <v>70</v>
      </c>
      <c r="F7" t="str">
        <f>_xlfn.XLOOKUP(C7,EventTypes!A:A,EventTypes!C:C,"")</f>
        <v>EB</v>
      </c>
      <c r="G7">
        <f>_xlfn.XLOOKUP(C7,EventTypes!A:A,EventTypes!E:E,"")</f>
        <v>1</v>
      </c>
      <c r="H7">
        <f>_xlfn.XLOOKUP(C7,EventTypes!A:A,EventTypes!F:F,"")</f>
        <v>4</v>
      </c>
      <c r="I7">
        <v>7</v>
      </c>
      <c r="J7" s="4">
        <v>46088</v>
      </c>
      <c r="K7" s="5">
        <v>0.79166666666666663</v>
      </c>
      <c r="L7" s="5">
        <v>0.95833333333333337</v>
      </c>
    </row>
    <row r="8" spans="1:12" x14ac:dyDescent="0.35">
      <c r="A8">
        <v>7</v>
      </c>
      <c r="B8" t="s">
        <v>89</v>
      </c>
      <c r="C8" t="s">
        <v>14</v>
      </c>
      <c r="D8" t="str">
        <f>_xlfn.XLOOKUP(C8,EventTypes!A:A,EventTypes!B:B,"")</f>
        <v>Fatahengi</v>
      </c>
      <c r="E8">
        <f>_xlfn.XLOOKUP(C8,EventTypes!A:A,EventTypes!D:D,"")</f>
        <v>80</v>
      </c>
      <c r="F8" t="str">
        <f>_xlfn.XLOOKUP(C8,EventTypes!A:A,EventTypes!C:C,"")</f>
        <v>Fatahengi</v>
      </c>
      <c r="G8">
        <f>_xlfn.XLOOKUP(C8,EventTypes!A:A,EventTypes!E:E,"")</f>
        <v>0</v>
      </c>
      <c r="H8">
        <f>_xlfn.XLOOKUP(C8,EventTypes!A:A,EventTypes!F:F,"")</f>
        <v>0</v>
      </c>
      <c r="I8">
        <v>10</v>
      </c>
      <c r="J8" s="4">
        <v>46088</v>
      </c>
      <c r="K8" s="5">
        <v>0.52083333333333337</v>
      </c>
      <c r="L8" s="5">
        <v>0.75</v>
      </c>
    </row>
    <row r="9" spans="1:12" x14ac:dyDescent="0.35">
      <c r="A9">
        <v>8</v>
      </c>
      <c r="B9" t="s">
        <v>90</v>
      </c>
      <c r="C9" t="s">
        <v>2</v>
      </c>
      <c r="D9" t="str">
        <f>_xlfn.XLOOKUP(C9,EventTypes!A:A,EventTypes!B:B,"")</f>
        <v>Basic</v>
      </c>
      <c r="E9">
        <f>_xlfn.XLOOKUP(C9,EventTypes!A:A,EventTypes!D:D,"")</f>
        <v>70</v>
      </c>
      <c r="F9" t="str">
        <f>_xlfn.XLOOKUP(C9,EventTypes!A:A,EventTypes!C:C,"")</f>
        <v>EB</v>
      </c>
      <c r="G9">
        <f>_xlfn.XLOOKUP(C9,EventTypes!A:A,EventTypes!E:E,"")</f>
        <v>1</v>
      </c>
      <c r="H9">
        <f>_xlfn.XLOOKUP(C9,EventTypes!A:A,EventTypes!F:F,"")</f>
        <v>4</v>
      </c>
      <c r="I9">
        <f>_xlfn.XLOOKUP(C9,EventTypes!A:A,EventTypes!G:G,"")</f>
        <v>11</v>
      </c>
      <c r="J9" s="4">
        <v>46090</v>
      </c>
      <c r="K9" s="5">
        <v>0.79166666666666663</v>
      </c>
      <c r="L9" s="5">
        <v>0.91666666666666663</v>
      </c>
    </row>
    <row r="10" spans="1:12" x14ac:dyDescent="0.35">
      <c r="A10">
        <v>9</v>
      </c>
      <c r="B10" t="s">
        <v>8</v>
      </c>
      <c r="C10" t="s">
        <v>8</v>
      </c>
      <c r="D10" t="str">
        <f>_xlfn.XLOOKUP(C10,EventTypes!A:A,EventTypes!B:B,"")</f>
        <v>Basic</v>
      </c>
      <c r="E10">
        <f>_xlfn.XLOOKUP(C10,EventTypes!A:A,EventTypes!D:D,"")</f>
        <v>50</v>
      </c>
      <c r="F10" t="str">
        <f>_xlfn.XLOOKUP(C10,EventTypes!A:A,EventTypes!C:C,"")</f>
        <v>EB</v>
      </c>
      <c r="G10">
        <f>_xlfn.XLOOKUP(C10,EventTypes!A:A,EventTypes!E:E,"")</f>
        <v>1</v>
      </c>
      <c r="H10">
        <f>_xlfn.XLOOKUP(C10,EventTypes!A:A,EventTypes!F:F,"")</f>
        <v>3</v>
      </c>
      <c r="I10">
        <v>11</v>
      </c>
      <c r="J10" s="4">
        <v>46093</v>
      </c>
      <c r="K10" s="5">
        <v>0.77083333333333337</v>
      </c>
      <c r="L10" s="5">
        <v>0.89583333333333337</v>
      </c>
    </row>
    <row r="11" spans="1:12" x14ac:dyDescent="0.35">
      <c r="A11">
        <v>10</v>
      </c>
      <c r="B11" t="s">
        <v>8</v>
      </c>
      <c r="C11" t="s">
        <v>8</v>
      </c>
      <c r="D11" t="str">
        <f>_xlfn.XLOOKUP(C11,EventTypes!A:A,EventTypes!B:B,"")</f>
        <v>Basic</v>
      </c>
      <c r="E11">
        <f>_xlfn.XLOOKUP(C11,EventTypes!A:A,EventTypes!D:D,"")</f>
        <v>50</v>
      </c>
      <c r="F11" t="str">
        <f>_xlfn.XLOOKUP(C11,EventTypes!A:A,EventTypes!C:C,"")</f>
        <v>EB</v>
      </c>
      <c r="G11">
        <f>_xlfn.XLOOKUP(C11,EventTypes!A:A,EventTypes!E:E,"")</f>
        <v>1</v>
      </c>
      <c r="H11">
        <f>_xlfn.XLOOKUP(C11,EventTypes!A:A,EventTypes!F:F,"")</f>
        <v>3</v>
      </c>
      <c r="I11">
        <v>7</v>
      </c>
      <c r="J11" s="4">
        <v>46094</v>
      </c>
      <c r="K11" s="5">
        <v>0.70833333333333337</v>
      </c>
      <c r="L11" s="5">
        <v>0.83333333333333337</v>
      </c>
    </row>
    <row r="12" spans="1:12" x14ac:dyDescent="0.35">
      <c r="A12">
        <v>11</v>
      </c>
      <c r="B12" t="s">
        <v>5</v>
      </c>
      <c r="C12" t="s">
        <v>6</v>
      </c>
      <c r="D12" t="str">
        <f>_xlfn.XLOOKUP(C12,EventTypes!A:A,EventTypes!B:B,"")</f>
        <v>Basic</v>
      </c>
      <c r="E12">
        <f>_xlfn.XLOOKUP(C12,EventTypes!A:A,EventTypes!D:D,"")</f>
        <v>80</v>
      </c>
      <c r="F12" t="str">
        <f>_xlfn.XLOOKUP(C12,EventTypes!A:A,EventTypes!C:C,"")</f>
        <v>NL</v>
      </c>
      <c r="G12">
        <v>0</v>
      </c>
      <c r="H12">
        <f>_xlfn.XLOOKUP(C12,EventTypes!A:A,EventTypes!F:F,"")</f>
        <v>0</v>
      </c>
      <c r="I12">
        <v>2</v>
      </c>
      <c r="J12" s="4">
        <v>46094</v>
      </c>
      <c r="K12" s="5">
        <v>0.75</v>
      </c>
      <c r="L12" s="5">
        <v>0.91666666666666663</v>
      </c>
    </row>
    <row r="13" spans="1:12" x14ac:dyDescent="0.35">
      <c r="A13">
        <v>12</v>
      </c>
      <c r="B13" t="s">
        <v>91</v>
      </c>
      <c r="C13" t="s">
        <v>12</v>
      </c>
      <c r="D13" t="str">
        <f>_xlfn.XLOOKUP(C13,EventTypes!A:A,EventTypes!B:B,"")</f>
        <v>Party</v>
      </c>
      <c r="E13">
        <f>_xlfn.XLOOKUP(C13,EventTypes!A:A,EventTypes!D:D,"")</f>
        <v>50</v>
      </c>
      <c r="F13" t="str">
        <f>_xlfn.XLOOKUP(C13,EventTypes!A:A,EventTypes!C:C,"")</f>
        <v>EB</v>
      </c>
      <c r="G13">
        <f>_xlfn.XLOOKUP(C13,EventTypes!A:A,EventTypes!E:E,"")</f>
        <v>1</v>
      </c>
      <c r="H13">
        <f>_xlfn.XLOOKUP(C13,EventTypes!A:A,EventTypes!F:F,"")</f>
        <v>6</v>
      </c>
      <c r="I13">
        <v>12</v>
      </c>
      <c r="J13" s="4">
        <v>46095</v>
      </c>
      <c r="K13" s="5">
        <v>0.75</v>
      </c>
      <c r="L13" s="5">
        <v>0.91666666666666663</v>
      </c>
    </row>
    <row r="14" spans="1:12" x14ac:dyDescent="0.35">
      <c r="A14">
        <v>13</v>
      </c>
      <c r="B14" t="s">
        <v>92</v>
      </c>
      <c r="C14" t="s">
        <v>5</v>
      </c>
      <c r="D14" t="str">
        <f>_xlfn.XLOOKUP(C14,EventTypes!A:A,EventTypes!B:B,"")</f>
        <v>Basic</v>
      </c>
      <c r="E14">
        <f>_xlfn.XLOOKUP(C14,EventTypes!A:A,EventTypes!D:D,"")</f>
        <v>80</v>
      </c>
      <c r="F14" t="str">
        <f>_xlfn.XLOOKUP(C14,EventTypes!A:A,EventTypes!C:C,"")</f>
        <v>SB</v>
      </c>
      <c r="G14">
        <v>0</v>
      </c>
      <c r="H14">
        <f>_xlfn.XLOOKUP(C14,EventTypes!A:A,EventTypes!F:F,"")</f>
        <v>1</v>
      </c>
      <c r="I14">
        <v>2</v>
      </c>
      <c r="J14" s="4">
        <v>46099</v>
      </c>
      <c r="K14" s="5">
        <v>0.75</v>
      </c>
      <c r="L14" s="5">
        <v>0.91666666666666663</v>
      </c>
    </row>
    <row r="15" spans="1:12" x14ac:dyDescent="0.35">
      <c r="A15">
        <v>14</v>
      </c>
      <c r="B15" t="s">
        <v>93</v>
      </c>
      <c r="C15" t="s">
        <v>2</v>
      </c>
      <c r="D15" t="str">
        <f>_xlfn.XLOOKUP(C15,EventTypes!A:A,EventTypes!B:B,"")</f>
        <v>Basic</v>
      </c>
      <c r="E15">
        <f>_xlfn.XLOOKUP(C15,EventTypes!A:A,EventTypes!D:D,"")</f>
        <v>70</v>
      </c>
      <c r="F15" t="str">
        <f>_xlfn.XLOOKUP(C15,EventTypes!A:A,EventTypes!C:C,"")</f>
        <v>EB</v>
      </c>
      <c r="G15">
        <f>_xlfn.XLOOKUP(C15,EventTypes!A:A,EventTypes!E:E,"")</f>
        <v>1</v>
      </c>
      <c r="H15">
        <f>_xlfn.XLOOKUP(C15,EventTypes!A:A,EventTypes!F:F,"")</f>
        <v>4</v>
      </c>
      <c r="I15">
        <v>7</v>
      </c>
      <c r="J15" s="4">
        <v>46100</v>
      </c>
      <c r="K15" s="5">
        <v>0.79166666666666663</v>
      </c>
      <c r="L15" s="5">
        <v>0.91666666666666663</v>
      </c>
    </row>
    <row r="16" spans="1:12" x14ac:dyDescent="0.35">
      <c r="A16">
        <v>15</v>
      </c>
      <c r="B16" t="s">
        <v>93</v>
      </c>
      <c r="C16" t="s">
        <v>12</v>
      </c>
      <c r="D16" t="str">
        <f>_xlfn.XLOOKUP(C16,EventTypes!A:A,EventTypes!B:B,"")</f>
        <v>Party</v>
      </c>
      <c r="E16">
        <f>_xlfn.XLOOKUP(C16,EventTypes!A:A,EventTypes!D:D,"")</f>
        <v>50</v>
      </c>
      <c r="F16" t="str">
        <f>_xlfn.XLOOKUP(C16,EventTypes!A:A,EventTypes!C:C,"")</f>
        <v>EB</v>
      </c>
      <c r="G16">
        <f>_xlfn.XLOOKUP(C16,EventTypes!A:A,EventTypes!E:E,"")</f>
        <v>1</v>
      </c>
      <c r="H16">
        <f>_xlfn.XLOOKUP(C16,EventTypes!A:A,EventTypes!F:F,"")</f>
        <v>6</v>
      </c>
      <c r="I16">
        <v>12</v>
      </c>
      <c r="J16" s="4">
        <v>46101</v>
      </c>
      <c r="K16" s="5">
        <v>0.79166666666666663</v>
      </c>
      <c r="L16" s="5">
        <v>0.95833333333333337</v>
      </c>
    </row>
    <row r="17" spans="1:12" x14ac:dyDescent="0.35">
      <c r="A17">
        <v>16</v>
      </c>
      <c r="B17" t="s">
        <v>94</v>
      </c>
      <c r="C17" t="s">
        <v>6</v>
      </c>
      <c r="D17" t="str">
        <f>_xlfn.XLOOKUP(C17,EventTypes!A:A,EventTypes!B:B,"")</f>
        <v>Basic</v>
      </c>
      <c r="E17">
        <f>_xlfn.XLOOKUP(C17,EventTypes!A:A,EventTypes!D:D,"")</f>
        <v>80</v>
      </c>
      <c r="F17" t="str">
        <f>_xlfn.XLOOKUP(C17,EventTypes!A:A,EventTypes!C:C,"")</f>
        <v>NL</v>
      </c>
      <c r="G17">
        <v>0</v>
      </c>
      <c r="H17">
        <f>_xlfn.XLOOKUP(C17,EventTypes!A:A,EventTypes!F:F,"")</f>
        <v>0</v>
      </c>
      <c r="I17">
        <v>1</v>
      </c>
      <c r="J17" s="4">
        <v>46101</v>
      </c>
      <c r="K17" s="5">
        <v>0.77083333333333337</v>
      </c>
      <c r="L17" s="5">
        <v>0.91666666666666663</v>
      </c>
    </row>
    <row r="18" spans="1:12" x14ac:dyDescent="0.35">
      <c r="A18">
        <v>17</v>
      </c>
      <c r="B18" t="s">
        <v>94</v>
      </c>
      <c r="C18" t="s">
        <v>6</v>
      </c>
      <c r="D18" t="str">
        <f>_xlfn.XLOOKUP(C18,EventTypes!A:A,EventTypes!B:B,"")</f>
        <v>Basic</v>
      </c>
      <c r="E18">
        <f>_xlfn.XLOOKUP(C18,EventTypes!A:A,EventTypes!D:D,"")</f>
        <v>80</v>
      </c>
      <c r="F18" t="str">
        <f>_xlfn.XLOOKUP(C18,EventTypes!A:A,EventTypes!C:C,"")</f>
        <v>NL</v>
      </c>
      <c r="G18">
        <v>0</v>
      </c>
      <c r="H18">
        <f>_xlfn.XLOOKUP(C18,EventTypes!A:A,EventTypes!F:F,"")</f>
        <v>0</v>
      </c>
      <c r="I18">
        <v>1</v>
      </c>
      <c r="J18" s="4">
        <v>46102</v>
      </c>
      <c r="K18" s="5">
        <v>0.77083333333333337</v>
      </c>
      <c r="L18" s="5">
        <v>0.89583333333333337</v>
      </c>
    </row>
    <row r="19" spans="1:12" x14ac:dyDescent="0.35">
      <c r="A19">
        <v>18</v>
      </c>
      <c r="B19" t="s">
        <v>94</v>
      </c>
      <c r="C19" t="s">
        <v>6</v>
      </c>
      <c r="D19" t="str">
        <f>_xlfn.XLOOKUP(C19,EventTypes!A:A,EventTypes!B:B,"")</f>
        <v>Basic</v>
      </c>
      <c r="E19">
        <f>_xlfn.XLOOKUP(C19,EventTypes!A:A,EventTypes!D:D,"")</f>
        <v>80</v>
      </c>
      <c r="F19" t="str">
        <f>_xlfn.XLOOKUP(C19,EventTypes!A:A,EventTypes!C:C,"")</f>
        <v>NL</v>
      </c>
      <c r="G19">
        <v>0</v>
      </c>
      <c r="H19">
        <f>_xlfn.XLOOKUP(C19,EventTypes!A:A,EventTypes!F:F,"")</f>
        <v>0</v>
      </c>
      <c r="I19">
        <v>2</v>
      </c>
      <c r="J19" s="4">
        <v>46103</v>
      </c>
      <c r="K19" s="5">
        <v>0.77083333333333337</v>
      </c>
      <c r="L19" s="5">
        <v>0.875</v>
      </c>
    </row>
    <row r="20" spans="1:12" x14ac:dyDescent="0.35">
      <c r="A20">
        <v>19</v>
      </c>
      <c r="B20" t="s">
        <v>94</v>
      </c>
      <c r="C20" t="s">
        <v>6</v>
      </c>
      <c r="D20" t="str">
        <f>_xlfn.XLOOKUP(C20,EventTypes!A:A,EventTypes!B:B,"")</f>
        <v>Basic</v>
      </c>
      <c r="E20">
        <f>_xlfn.XLOOKUP(C20,EventTypes!A:A,EventTypes!D:D,"")</f>
        <v>80</v>
      </c>
      <c r="F20" t="str">
        <f>_xlfn.XLOOKUP(C20,EventTypes!A:A,EventTypes!C:C,"")</f>
        <v>NL</v>
      </c>
      <c r="G20">
        <v>0</v>
      </c>
      <c r="H20">
        <f>_xlfn.XLOOKUP(C20,EventTypes!A:A,EventTypes!F:F,"")</f>
        <v>0</v>
      </c>
      <c r="I20">
        <v>1</v>
      </c>
      <c r="J20" s="4">
        <v>46104</v>
      </c>
      <c r="K20" s="5">
        <v>0.77083333333333337</v>
      </c>
      <c r="L20" s="5">
        <v>0.875</v>
      </c>
    </row>
    <row r="21" spans="1:12" x14ac:dyDescent="0.35">
      <c r="A21">
        <v>20</v>
      </c>
      <c r="B21" t="s">
        <v>94</v>
      </c>
      <c r="C21" t="s">
        <v>6</v>
      </c>
      <c r="D21" t="str">
        <f>_xlfn.XLOOKUP(C21,EventTypes!A:A,EventTypes!B:B,"")</f>
        <v>Basic</v>
      </c>
      <c r="E21">
        <f>_xlfn.XLOOKUP(C21,EventTypes!A:A,EventTypes!D:D,"")</f>
        <v>80</v>
      </c>
      <c r="F21" t="str">
        <f>_xlfn.XLOOKUP(C21,EventTypes!A:A,EventTypes!C:C,"")</f>
        <v>NL</v>
      </c>
      <c r="G21">
        <v>1</v>
      </c>
      <c r="H21">
        <f>_xlfn.XLOOKUP(C21,EventTypes!A:A,EventTypes!F:F,"")</f>
        <v>0</v>
      </c>
      <c r="I21">
        <v>2</v>
      </c>
      <c r="J21" s="4">
        <v>46109</v>
      </c>
      <c r="K21" s="5">
        <v>0.66666666666666663</v>
      </c>
      <c r="L21" s="5">
        <v>0.91666666666666663</v>
      </c>
    </row>
    <row r="22" spans="1:12" x14ac:dyDescent="0.35">
      <c r="A22">
        <v>21</v>
      </c>
      <c r="B22" t="s">
        <v>95</v>
      </c>
      <c r="C22" t="s">
        <v>12</v>
      </c>
      <c r="D22" t="str">
        <f>_xlfn.XLOOKUP(C22,EventTypes!A:A,EventTypes!B:B,"")</f>
        <v>Party</v>
      </c>
      <c r="E22">
        <f>_xlfn.XLOOKUP(C22,EventTypes!A:A,EventTypes!D:D,"")</f>
        <v>50</v>
      </c>
      <c r="F22" t="str">
        <f>_xlfn.XLOOKUP(C22,EventTypes!A:A,EventTypes!C:C,"")</f>
        <v>EB</v>
      </c>
      <c r="G22">
        <v>1</v>
      </c>
      <c r="H22">
        <f>_xlfn.XLOOKUP(C22,EventTypes!A:A,EventTypes!F:F,"")</f>
        <v>6</v>
      </c>
      <c r="I22">
        <v>12</v>
      </c>
      <c r="J22" s="4">
        <v>46102</v>
      </c>
      <c r="K22" s="5">
        <v>0.83333333333333337</v>
      </c>
      <c r="L22" s="6">
        <v>0</v>
      </c>
    </row>
    <row r="23" spans="1:12" x14ac:dyDescent="0.35">
      <c r="A23">
        <v>22</v>
      </c>
      <c r="B23" t="s">
        <v>96</v>
      </c>
      <c r="C23" t="s">
        <v>12</v>
      </c>
      <c r="D23" t="str">
        <f>_xlfn.XLOOKUP(C23,EventTypes!A:A,EventTypes!B:B,"")</f>
        <v>Party</v>
      </c>
      <c r="E23">
        <f>_xlfn.XLOOKUP(C23,EventTypes!A:A,EventTypes!D:D,"")</f>
        <v>50</v>
      </c>
      <c r="F23" t="str">
        <f>_xlfn.XLOOKUP(C23,EventTypes!A:A,EventTypes!C:C,"")</f>
        <v>EB</v>
      </c>
      <c r="G23">
        <v>1</v>
      </c>
      <c r="H23">
        <f>_xlfn.XLOOKUP(C23,EventTypes!A:A,EventTypes!F:F,"")</f>
        <v>6</v>
      </c>
      <c r="I23">
        <v>12</v>
      </c>
      <c r="J23" s="4">
        <v>46108</v>
      </c>
      <c r="K23" s="5">
        <v>0.79166666666666663</v>
      </c>
      <c r="L23" s="5">
        <v>0.91666666666666663</v>
      </c>
    </row>
    <row r="24" spans="1:12" x14ac:dyDescent="0.35">
      <c r="A24">
        <v>23</v>
      </c>
      <c r="B24" t="s">
        <v>83</v>
      </c>
      <c r="C24" t="s">
        <v>2</v>
      </c>
      <c r="D24" t="str">
        <f>_xlfn.XLOOKUP(C24,EventTypes!A:A,EventTypes!B:B,"")</f>
        <v>Basic</v>
      </c>
      <c r="E24">
        <f>_xlfn.XLOOKUP(C24,EventTypes!A:A,EventTypes!D:D,"")</f>
        <v>70</v>
      </c>
      <c r="F24" t="str">
        <f>_xlfn.XLOOKUP(C24,EventTypes!A:A,EventTypes!C:C,"")</f>
        <v>EB</v>
      </c>
      <c r="G24">
        <f>_xlfn.XLOOKUP(C24,EventTypes!A:A,EventTypes!E:E,"")</f>
        <v>1</v>
      </c>
      <c r="H24">
        <f>_xlfn.XLOOKUP(C24,EventTypes!A:A,EventTypes!F:F,"")</f>
        <v>4</v>
      </c>
      <c r="I24">
        <v>7</v>
      </c>
      <c r="J24" s="4">
        <v>46110</v>
      </c>
      <c r="K24" s="5">
        <v>0.58333333333333337</v>
      </c>
      <c r="L24" s="5">
        <v>0.75</v>
      </c>
    </row>
    <row r="25" spans="1:12" x14ac:dyDescent="0.35">
      <c r="A25">
        <v>24</v>
      </c>
      <c r="B25" t="s">
        <v>84</v>
      </c>
      <c r="C25" t="s">
        <v>9</v>
      </c>
      <c r="D25" t="str">
        <f>_xlfn.XLOOKUP(C25,EventTypes!A:A,EventTypes!B:B,"")</f>
        <v>Solo</v>
      </c>
      <c r="E25">
        <f>_xlfn.XLOOKUP(C25,EventTypes!A:A,EventTypes!D:D,"")</f>
        <v>100</v>
      </c>
      <c r="F25" t="str">
        <f>_xlfn.XLOOKUP(C25,EventTypes!A:A,EventTypes!C:C,"")</f>
        <v>KL</v>
      </c>
      <c r="G25">
        <f>_xlfn.XLOOKUP(C25,EventTypes!A:A,EventTypes!E:E,"")</f>
        <v>0</v>
      </c>
      <c r="H25">
        <f>_xlfn.XLOOKUP(C25,EventTypes!A:A,EventTypes!F:F,"")</f>
        <v>0</v>
      </c>
      <c r="I25">
        <v>1</v>
      </c>
      <c r="J25" s="4">
        <v>46095</v>
      </c>
      <c r="K25" s="5">
        <v>0.75</v>
      </c>
      <c r="L25" s="5">
        <v>0.91666666666666663</v>
      </c>
    </row>
    <row r="26" spans="1:12" x14ac:dyDescent="0.35">
      <c r="A26">
        <v>25</v>
      </c>
      <c r="B26" t="s">
        <v>84</v>
      </c>
      <c r="C26" t="s">
        <v>9</v>
      </c>
      <c r="D26" t="str">
        <f>_xlfn.XLOOKUP(C26,EventTypes!A:A,EventTypes!B:B,"")</f>
        <v>Solo</v>
      </c>
      <c r="E26">
        <f>_xlfn.XLOOKUP(C26,EventTypes!A:A,EventTypes!D:D,"")</f>
        <v>100</v>
      </c>
      <c r="F26" t="str">
        <f>_xlfn.XLOOKUP(C26,EventTypes!A:A,EventTypes!C:C,"")</f>
        <v>KL</v>
      </c>
      <c r="G26">
        <f>_xlfn.XLOOKUP(C26,EventTypes!A:A,EventTypes!E:E,"")</f>
        <v>0</v>
      </c>
      <c r="H26">
        <f>_xlfn.XLOOKUP(C26,EventTypes!A:A,EventTypes!F:F,"")</f>
        <v>0</v>
      </c>
      <c r="I26">
        <v>1</v>
      </c>
      <c r="J26" s="4">
        <v>46102</v>
      </c>
      <c r="K26" s="5">
        <v>0.75</v>
      </c>
      <c r="L26" s="5">
        <v>0.91666666666666663</v>
      </c>
    </row>
    <row r="27" spans="1:12" x14ac:dyDescent="0.35">
      <c r="A27">
        <v>26</v>
      </c>
      <c r="B27" t="s">
        <v>84</v>
      </c>
      <c r="C27" t="s">
        <v>9</v>
      </c>
      <c r="D27" t="str">
        <f>_xlfn.XLOOKUP(C27,EventTypes!A:A,EventTypes!B:B,"")</f>
        <v>Solo</v>
      </c>
      <c r="E27">
        <f>_xlfn.XLOOKUP(C27,EventTypes!A:A,EventTypes!D:D,"")</f>
        <v>100</v>
      </c>
      <c r="F27" t="str">
        <f>_xlfn.XLOOKUP(C27,EventTypes!A:A,EventTypes!C:C,"")</f>
        <v>KL</v>
      </c>
      <c r="G27">
        <f>_xlfn.XLOOKUP(C27,EventTypes!A:A,EventTypes!E:E,"")</f>
        <v>0</v>
      </c>
      <c r="H27">
        <f>_xlfn.XLOOKUP(C27,EventTypes!A:A,EventTypes!F:F,"")</f>
        <v>0</v>
      </c>
      <c r="I27">
        <v>1</v>
      </c>
      <c r="J27" s="4">
        <v>46109</v>
      </c>
      <c r="K27" s="5">
        <v>0.75</v>
      </c>
      <c r="L27" s="5">
        <v>0.91666666666666663</v>
      </c>
    </row>
    <row r="28" spans="1:12" x14ac:dyDescent="0.35">
      <c r="A28">
        <v>27</v>
      </c>
      <c r="B28" t="s">
        <v>97</v>
      </c>
      <c r="C28" t="s">
        <v>16</v>
      </c>
      <c r="D28" t="str">
        <f>_xlfn.XLOOKUP(C28,EventTypes!A:A,EventTypes!B:B,"")</f>
        <v>Barna</v>
      </c>
      <c r="E28">
        <f>_xlfn.XLOOKUP(C28,EventTypes!A:A,EventTypes!D:D,"")</f>
        <v>80</v>
      </c>
      <c r="F28" t="str">
        <f>_xlfn.XLOOKUP(C28,EventTypes!A:A,EventTypes!C:C,"")</f>
        <v>KL</v>
      </c>
      <c r="G28">
        <f>_xlfn.XLOOKUP(C28,EventTypes!A:A,EventTypes!E:E,"")</f>
        <v>0</v>
      </c>
      <c r="H28">
        <f>_xlfn.XLOOKUP(C28,EventTypes!A:A,EventTypes!F:F,"")</f>
        <v>1</v>
      </c>
      <c r="I28">
        <v>2</v>
      </c>
      <c r="J28" s="4">
        <v>46088</v>
      </c>
      <c r="K28" s="5">
        <v>0.5</v>
      </c>
      <c r="L28" s="5">
        <v>0.66666666666666663</v>
      </c>
    </row>
    <row r="29" spans="1:12" x14ac:dyDescent="0.35">
      <c r="A29">
        <v>28</v>
      </c>
      <c r="B29" t="s">
        <v>97</v>
      </c>
      <c r="C29" t="s">
        <v>16</v>
      </c>
      <c r="D29" t="str">
        <f>_xlfn.XLOOKUP(C29,EventTypes!A:A,EventTypes!B:B,"")</f>
        <v>Barna</v>
      </c>
      <c r="E29">
        <f>_xlfn.XLOOKUP(C29,EventTypes!A:A,EventTypes!D:D,"")</f>
        <v>80</v>
      </c>
      <c r="F29" t="str">
        <f>_xlfn.XLOOKUP(C29,EventTypes!A:A,EventTypes!C:C,"")</f>
        <v>KL</v>
      </c>
      <c r="G29">
        <v>0</v>
      </c>
      <c r="H29">
        <f>_xlfn.XLOOKUP(C29,EventTypes!A:A,EventTypes!F:F,"")</f>
        <v>1</v>
      </c>
      <c r="I29">
        <v>2</v>
      </c>
      <c r="J29" s="4">
        <v>46102</v>
      </c>
      <c r="K29" s="5">
        <v>0.5</v>
      </c>
      <c r="L29" s="5">
        <v>0.66666666666666663</v>
      </c>
    </row>
    <row r="30" spans="1:12" ht="18" customHeight="1" x14ac:dyDescent="0.35">
      <c r="A30">
        <v>29</v>
      </c>
      <c r="B30" t="s">
        <v>97</v>
      </c>
      <c r="C30" t="s">
        <v>16</v>
      </c>
      <c r="D30" t="str">
        <f>_xlfn.XLOOKUP(C30,EventTypes!A:A,EventTypes!B:B,"")</f>
        <v>Barna</v>
      </c>
      <c r="E30">
        <f>_xlfn.XLOOKUP(C30,EventTypes!A:A,EventTypes!D:D,"")</f>
        <v>80</v>
      </c>
      <c r="F30" t="str">
        <f>_xlfn.XLOOKUP(C30,EventTypes!A:A,EventTypes!C:C,"")</f>
        <v>KL</v>
      </c>
      <c r="G30">
        <f>_xlfn.XLOOKUP(C30,EventTypes!A:A,EventTypes!E:E,"")</f>
        <v>0</v>
      </c>
      <c r="H30">
        <f>_xlfn.XLOOKUP(C30,EventTypes!A:A,EventTypes!F:F,"")</f>
        <v>1</v>
      </c>
      <c r="I30">
        <v>2</v>
      </c>
      <c r="J30" s="4">
        <v>46109</v>
      </c>
      <c r="K30" s="5">
        <v>0.5</v>
      </c>
      <c r="L30" s="5">
        <v>0.66666666666666663</v>
      </c>
    </row>
    <row r="31" spans="1:12" ht="16" customHeight="1" x14ac:dyDescent="0.35">
      <c r="A31">
        <v>30</v>
      </c>
      <c r="B31" t="s">
        <v>7</v>
      </c>
      <c r="C31" t="s">
        <v>7</v>
      </c>
      <c r="D31" t="str">
        <f>_xlfn.XLOOKUP(C31,EventTypes!A:A,EventTypes!B:B,"")</f>
        <v>Solo</v>
      </c>
      <c r="E31">
        <f>_xlfn.XLOOKUP(C31,EventTypes!A:A,EventTypes!D:D,"")</f>
        <v>80</v>
      </c>
      <c r="F31" t="str">
        <f>_xlfn.XLOOKUP(C31,EventTypes!A:A,EventTypes!C:C,"")</f>
        <v>BL</v>
      </c>
      <c r="G31">
        <f>_xlfn.XLOOKUP(C31,EventTypes!A:A,EventTypes!E:E,"")</f>
        <v>0</v>
      </c>
      <c r="H31">
        <f>_xlfn.XLOOKUP(C31,EventTypes!A:A,EventTypes!F:F,"")</f>
        <v>0</v>
      </c>
      <c r="I31">
        <v>1</v>
      </c>
      <c r="J31" s="4">
        <v>46085</v>
      </c>
      <c r="K31" s="5">
        <v>0.79166666666666663</v>
      </c>
      <c r="L31" s="5">
        <v>0.91666666666666663</v>
      </c>
    </row>
    <row r="32" spans="1:12" ht="16" customHeight="1" x14ac:dyDescent="0.35">
      <c r="A32">
        <v>31</v>
      </c>
      <c r="B32" t="s">
        <v>7</v>
      </c>
      <c r="C32" t="s">
        <v>7</v>
      </c>
      <c r="D32" t="str">
        <f>_xlfn.XLOOKUP(C32,EventTypes!A:A,EventTypes!B:B,"")</f>
        <v>Solo</v>
      </c>
      <c r="E32">
        <f>_xlfn.XLOOKUP(C32,EventTypes!A:A,EventTypes!D:D,"")</f>
        <v>80</v>
      </c>
      <c r="F32" t="str">
        <f>_xlfn.XLOOKUP(C32,EventTypes!A:A,EventTypes!C:C,"")</f>
        <v>BL</v>
      </c>
      <c r="G32">
        <f>_xlfn.XLOOKUP(C32,EventTypes!A:A,EventTypes!E:E,"")</f>
        <v>0</v>
      </c>
      <c r="H32">
        <f>_xlfn.XLOOKUP(C32,EventTypes!A:A,EventTypes!F:F,"")</f>
        <v>0</v>
      </c>
      <c r="I32">
        <v>1</v>
      </c>
      <c r="J32" s="4">
        <v>46092</v>
      </c>
      <c r="K32" s="5">
        <v>0.79166666666666663</v>
      </c>
      <c r="L32" s="5">
        <v>0.91666666666666663</v>
      </c>
    </row>
    <row r="33" spans="1:12" ht="16" customHeight="1" x14ac:dyDescent="0.35">
      <c r="A33">
        <v>32</v>
      </c>
      <c r="B33" t="s">
        <v>7</v>
      </c>
      <c r="C33" t="s">
        <v>7</v>
      </c>
      <c r="D33" t="str">
        <f>_xlfn.XLOOKUP(C33,EventTypes!A:A,EventTypes!B:B,"")</f>
        <v>Solo</v>
      </c>
      <c r="E33">
        <f>_xlfn.XLOOKUP(C33,EventTypes!A:A,EventTypes!D:D,"")</f>
        <v>80</v>
      </c>
      <c r="F33" t="str">
        <f>_xlfn.XLOOKUP(C33,EventTypes!A:A,EventTypes!C:C,"")</f>
        <v>BL</v>
      </c>
      <c r="G33">
        <v>0</v>
      </c>
      <c r="H33">
        <f>_xlfn.XLOOKUP(C33,EventTypes!A:A,EventTypes!F:F,"")</f>
        <v>0</v>
      </c>
      <c r="I33">
        <v>1</v>
      </c>
      <c r="J33" s="4">
        <v>46099</v>
      </c>
      <c r="K33" s="5">
        <v>0.79166666666666663</v>
      </c>
      <c r="L33" s="5">
        <v>0.91666666666666663</v>
      </c>
    </row>
    <row r="34" spans="1:12" x14ac:dyDescent="0.35">
      <c r="A34">
        <v>33</v>
      </c>
      <c r="B34" t="s">
        <v>7</v>
      </c>
      <c r="C34" t="s">
        <v>7</v>
      </c>
      <c r="D34" t="str">
        <f>_xlfn.XLOOKUP(C34,EventTypes!A:A,EventTypes!B:B,"")</f>
        <v>Solo</v>
      </c>
      <c r="E34">
        <f>_xlfn.XLOOKUP(C34,EventTypes!A:A,EventTypes!D:D,"")</f>
        <v>80</v>
      </c>
      <c r="F34" t="str">
        <f>_xlfn.XLOOKUP(C34,EventTypes!A:A,EventTypes!C:C,"")</f>
        <v>BL</v>
      </c>
      <c r="G34">
        <v>0</v>
      </c>
      <c r="H34">
        <f>_xlfn.XLOOKUP(C34,EventTypes!A:A,EventTypes!F:F,"")</f>
        <v>0</v>
      </c>
      <c r="I34">
        <v>1</v>
      </c>
      <c r="J34" s="4">
        <v>46106</v>
      </c>
      <c r="K34" s="5">
        <v>0.79166666666666663</v>
      </c>
      <c r="L34" s="5">
        <v>0.91666666666666663</v>
      </c>
    </row>
    <row r="35" spans="1:12" x14ac:dyDescent="0.35">
      <c r="A35">
        <v>34</v>
      </c>
      <c r="B35" t="s">
        <v>98</v>
      </c>
      <c r="C35" t="s">
        <v>3</v>
      </c>
      <c r="D35" t="str">
        <f>_xlfn.XLOOKUP(C35,EventTypes!A:A,EventTypes!B:B,"")</f>
        <v>Basic</v>
      </c>
      <c r="E35">
        <f>_xlfn.XLOOKUP(C35,EventTypes!A:A,EventTypes!D:D,"")</f>
        <v>40</v>
      </c>
      <c r="F35" t="str">
        <f>_xlfn.XLOOKUP(C35,EventTypes!A:A,EventTypes!C:C,"")</f>
        <v>KL</v>
      </c>
      <c r="G35">
        <v>0</v>
      </c>
      <c r="H35">
        <f>_xlfn.XLOOKUP(C35,EventTypes!A:A,EventTypes!F:F,"")</f>
        <v>1</v>
      </c>
      <c r="I35">
        <v>1</v>
      </c>
      <c r="J35" s="4">
        <v>46091</v>
      </c>
      <c r="K35" s="5">
        <v>0.79166666666666663</v>
      </c>
      <c r="L35" s="5">
        <v>0.91666666666666663</v>
      </c>
    </row>
    <row r="36" spans="1:12" x14ac:dyDescent="0.35">
      <c r="A36">
        <v>35</v>
      </c>
      <c r="B36" t="s">
        <v>99</v>
      </c>
      <c r="C36" t="s">
        <v>6</v>
      </c>
      <c r="D36" t="str">
        <f>_xlfn.XLOOKUP(C36,EventTypes!A:A,EventTypes!B:B,"")</f>
        <v>Basic</v>
      </c>
      <c r="E36">
        <f>_xlfn.XLOOKUP(C36,EventTypes!A:A,EventTypes!D:D,"")</f>
        <v>80</v>
      </c>
      <c r="F36" t="str">
        <f>_xlfn.XLOOKUP(C36,EventTypes!A:A,EventTypes!C:C,"")</f>
        <v>NL</v>
      </c>
      <c r="G36">
        <v>0</v>
      </c>
      <c r="H36">
        <f>_xlfn.XLOOKUP(C36,EventTypes!A:A,EventTypes!F:F,"")</f>
        <v>0</v>
      </c>
      <c r="I36">
        <v>2</v>
      </c>
      <c r="J36" s="4">
        <v>46098</v>
      </c>
      <c r="K36" s="5">
        <v>0.79166666666666663</v>
      </c>
      <c r="L36" s="5">
        <v>0.91666666666666663</v>
      </c>
    </row>
    <row r="37" spans="1:12" x14ac:dyDescent="0.35">
      <c r="A37">
        <v>36</v>
      </c>
      <c r="B37" t="s">
        <v>100</v>
      </c>
      <c r="C37" t="s">
        <v>6</v>
      </c>
      <c r="D37" t="str">
        <f>_xlfn.XLOOKUP(C37,EventTypes!A:A,EventTypes!B:B,"")</f>
        <v>Basic</v>
      </c>
      <c r="E37">
        <f>_xlfn.XLOOKUP(C37,EventTypes!A:A,EventTypes!D:D,"")</f>
        <v>80</v>
      </c>
      <c r="F37" t="str">
        <f>_xlfn.XLOOKUP(C37,EventTypes!A:A,EventTypes!C:C,"")</f>
        <v>NL</v>
      </c>
      <c r="G37">
        <v>0</v>
      </c>
      <c r="H37">
        <f>_xlfn.XLOOKUP(C37,EventTypes!A:A,EventTypes!F:F,"")</f>
        <v>0</v>
      </c>
      <c r="I37">
        <v>1</v>
      </c>
      <c r="J37" s="4">
        <v>46097</v>
      </c>
      <c r="K37" s="5">
        <v>0.79166666666666663</v>
      </c>
      <c r="L37" s="5">
        <v>0.91666666666666663</v>
      </c>
    </row>
    <row r="38" spans="1:12" x14ac:dyDescent="0.35">
      <c r="A38">
        <v>37</v>
      </c>
      <c r="B38" t="s">
        <v>28</v>
      </c>
      <c r="C38" t="s">
        <v>16</v>
      </c>
      <c r="D38" t="str">
        <f>_xlfn.XLOOKUP(C38,EventTypes!A:A,EventTypes!B:B,"")</f>
        <v>Barna</v>
      </c>
      <c r="E38">
        <f>_xlfn.XLOOKUP(C38,EventTypes!A:A,EventTypes!D:D,"")</f>
        <v>80</v>
      </c>
      <c r="F38" t="str">
        <f>_xlfn.XLOOKUP(C38,EventTypes!A:A,EventTypes!C:C,"")</f>
        <v>KL</v>
      </c>
      <c r="G38">
        <f>_xlfn.XLOOKUP(C38,EventTypes!A:A,EventTypes!E:E,"")</f>
        <v>0</v>
      </c>
      <c r="H38">
        <f>_xlfn.XLOOKUP(C38,EventTypes!A:A,EventTypes!F:F,"")</f>
        <v>1</v>
      </c>
      <c r="I38">
        <v>2</v>
      </c>
      <c r="J38" s="4">
        <v>46103</v>
      </c>
      <c r="K38" s="5">
        <v>0.5</v>
      </c>
      <c r="L38" s="5">
        <v>0.66666666666666663</v>
      </c>
    </row>
    <row r="39" spans="1:12" x14ac:dyDescent="0.35">
      <c r="A39">
        <v>38</v>
      </c>
      <c r="B39" t="s">
        <v>101</v>
      </c>
      <c r="C39" t="s">
        <v>5</v>
      </c>
      <c r="D39" t="str">
        <f>_xlfn.XLOOKUP(C39,EventTypes!A:A,EventTypes!B:B,"")</f>
        <v>Basic</v>
      </c>
      <c r="E39">
        <f>_xlfn.XLOOKUP(C39,EventTypes!A:A,EventTypes!D:D,"")</f>
        <v>80</v>
      </c>
      <c r="F39" t="str">
        <f>_xlfn.XLOOKUP(C39,EventTypes!A:A,EventTypes!C:C,"")</f>
        <v>SB</v>
      </c>
      <c r="G39">
        <v>0</v>
      </c>
      <c r="H39">
        <f>_xlfn.XLOOKUP(C39,EventTypes!A:A,EventTypes!F:F,"")</f>
        <v>1</v>
      </c>
      <c r="I39">
        <v>1</v>
      </c>
      <c r="J39" s="4">
        <v>46107</v>
      </c>
      <c r="K39" s="5">
        <v>0.70833333333333337</v>
      </c>
      <c r="L39" s="5">
        <v>0.83333333333333337</v>
      </c>
    </row>
    <row r="40" spans="1:12" x14ac:dyDescent="0.35">
      <c r="A40">
        <v>39</v>
      </c>
      <c r="B40" t="s">
        <v>11</v>
      </c>
      <c r="C40" t="s">
        <v>11</v>
      </c>
      <c r="D40" t="str">
        <f>_xlfn.XLOOKUP(C40,EventTypes!A:A,EventTypes!B:B,"")</f>
        <v>Solo</v>
      </c>
      <c r="E40">
        <f>_xlfn.XLOOKUP(C40,EventTypes!A:A,EventTypes!D:D,"")</f>
        <v>90</v>
      </c>
      <c r="F40" t="str">
        <f>_xlfn.XLOOKUP(C40,EventTypes!A:A,EventTypes!C:C,"")</f>
        <v>NL</v>
      </c>
      <c r="G40">
        <f>_xlfn.XLOOKUP(C40,EventTypes!A:A,EventTypes!E:E,"")</f>
        <v>0</v>
      </c>
      <c r="H40">
        <f>_xlfn.XLOOKUP(C40,EventTypes!A:A,EventTypes!F:F,"")</f>
        <v>0</v>
      </c>
      <c r="I40">
        <v>2</v>
      </c>
      <c r="J40" s="4">
        <v>46103</v>
      </c>
      <c r="K40" s="5">
        <v>0.625</v>
      </c>
      <c r="L40" s="5">
        <v>0.79166666666666663</v>
      </c>
    </row>
    <row r="41" spans="1:12" x14ac:dyDescent="0.35">
      <c r="A41">
        <v>40</v>
      </c>
      <c r="B41" t="s">
        <v>102</v>
      </c>
      <c r="C41" t="s">
        <v>3</v>
      </c>
      <c r="D41" t="str">
        <f>_xlfn.XLOOKUP(C41,EventTypes!A:A,EventTypes!B:B,"")</f>
        <v>Basic</v>
      </c>
      <c r="E41">
        <f>_xlfn.XLOOKUP(C41,EventTypes!A:A,EventTypes!D:D,"")</f>
        <v>40</v>
      </c>
      <c r="F41" t="str">
        <f>_xlfn.XLOOKUP(C41,EventTypes!A:A,EventTypes!C:C,"")</f>
        <v>KL</v>
      </c>
      <c r="G41">
        <f>_xlfn.XLOOKUP(C41,EventTypes!A:A,EventTypes!E:E,"")</f>
        <v>0</v>
      </c>
      <c r="H41">
        <f>_xlfn.XLOOKUP(C41,EventTypes!A:A,EventTypes!F:F,"")</f>
        <v>1</v>
      </c>
      <c r="I41">
        <v>1</v>
      </c>
      <c r="J41" s="4">
        <v>46087</v>
      </c>
      <c r="K41" s="5">
        <v>0.79166666666666663</v>
      </c>
      <c r="L41" s="5">
        <v>0.91666666666666663</v>
      </c>
    </row>
    <row r="42" spans="1:12" x14ac:dyDescent="0.35">
      <c r="A42">
        <v>41</v>
      </c>
      <c r="B42" t="s">
        <v>103</v>
      </c>
      <c r="C42" t="s">
        <v>6</v>
      </c>
      <c r="D42" t="str">
        <f>_xlfn.XLOOKUP(C42,EventTypes!A:A,EventTypes!B:B,"")</f>
        <v>Basic</v>
      </c>
      <c r="E42">
        <f>_xlfn.XLOOKUP(C42,EventTypes!A:A,EventTypes!D:D,"")</f>
        <v>80</v>
      </c>
      <c r="F42" t="str">
        <f>_xlfn.XLOOKUP(C42,EventTypes!A:A,EventTypes!C:C,"")</f>
        <v>NL</v>
      </c>
      <c r="G42">
        <v>0</v>
      </c>
      <c r="H42">
        <f>_xlfn.XLOOKUP(C42,EventTypes!A:A,EventTypes!F:F,"")</f>
        <v>0</v>
      </c>
      <c r="I42">
        <v>2</v>
      </c>
      <c r="J42" s="4">
        <v>46092</v>
      </c>
      <c r="K42" s="5">
        <v>0.79166666666666663</v>
      </c>
      <c r="L42" s="5">
        <v>0.91666666666666663</v>
      </c>
    </row>
    <row r="43" spans="1:12" x14ac:dyDescent="0.35">
      <c r="A43">
        <v>42</v>
      </c>
      <c r="B43" t="s">
        <v>82</v>
      </c>
      <c r="C43" t="s">
        <v>6</v>
      </c>
      <c r="D43" t="str">
        <f>_xlfn.XLOOKUP(C43,EventTypes!A:A,EventTypes!B:B,"")</f>
        <v>Basic</v>
      </c>
      <c r="E43">
        <f>_xlfn.XLOOKUP(C43,EventTypes!A:A,EventTypes!D:D,"")</f>
        <v>80</v>
      </c>
      <c r="F43" t="str">
        <f>_xlfn.XLOOKUP(C43,EventTypes!A:A,EventTypes!C:C,"")</f>
        <v>NL</v>
      </c>
      <c r="G43">
        <v>0</v>
      </c>
      <c r="H43">
        <f>_xlfn.XLOOKUP(C43,EventTypes!A:A,EventTypes!F:F,"")</f>
        <v>0</v>
      </c>
      <c r="I43">
        <v>1</v>
      </c>
      <c r="J43" s="4">
        <v>46112</v>
      </c>
      <c r="K43" s="5">
        <v>0.75</v>
      </c>
      <c r="L43" s="5">
        <v>0.875</v>
      </c>
    </row>
    <row r="44" spans="1:12" x14ac:dyDescent="0.35">
      <c r="J44" s="4"/>
      <c r="K44" s="5"/>
      <c r="L44" s="5"/>
    </row>
    <row r="45" spans="1:12" x14ac:dyDescent="0.35">
      <c r="J45" s="4"/>
      <c r="K45" s="5"/>
      <c r="L45" s="5"/>
    </row>
    <row r="46" spans="1:12" x14ac:dyDescent="0.35">
      <c r="J46" s="4"/>
      <c r="K46" s="5"/>
      <c r="L46" s="5"/>
    </row>
    <row r="47" spans="1:12" x14ac:dyDescent="0.35">
      <c r="J47" s="4"/>
      <c r="K47" s="5"/>
      <c r="L47" s="5"/>
    </row>
    <row r="48" spans="1:12" x14ac:dyDescent="0.35">
      <c r="J48" s="4"/>
      <c r="K48" s="5"/>
      <c r="L48" s="5"/>
    </row>
    <row r="49" spans="10:12" x14ac:dyDescent="0.35">
      <c r="J49" s="4"/>
      <c r="K49" s="5"/>
      <c r="L49" s="5"/>
    </row>
    <row r="50" spans="10:12" x14ac:dyDescent="0.35">
      <c r="J50" s="4"/>
      <c r="K50" s="5"/>
      <c r="L50" s="5"/>
    </row>
    <row r="51" spans="10:12" x14ac:dyDescent="0.35">
      <c r="J51" s="4"/>
      <c r="K51" s="5"/>
      <c r="L51" s="5"/>
    </row>
    <row r="52" spans="10:12" x14ac:dyDescent="0.35">
      <c r="J52" s="4"/>
      <c r="K52" s="5"/>
      <c r="L52" s="5"/>
    </row>
    <row r="53" spans="10:12" x14ac:dyDescent="0.35">
      <c r="J53" s="4"/>
      <c r="K53" s="5"/>
      <c r="L53" s="5"/>
    </row>
    <row r="54" spans="10:12" x14ac:dyDescent="0.35">
      <c r="J54" s="4"/>
      <c r="K54" s="5"/>
      <c r="L54" s="5"/>
    </row>
    <row r="55" spans="10:12" x14ac:dyDescent="0.35">
      <c r="J55" s="4"/>
      <c r="K55" s="5"/>
      <c r="L55" s="5"/>
    </row>
    <row r="56" spans="10:12" x14ac:dyDescent="0.35">
      <c r="J56" s="4"/>
      <c r="K56" s="5"/>
      <c r="L56" s="5"/>
    </row>
    <row r="57" spans="10:12" x14ac:dyDescent="0.35">
      <c r="J57" s="4"/>
      <c r="K57" s="5"/>
      <c r="L57" s="5"/>
    </row>
    <row r="58" spans="10:12" x14ac:dyDescent="0.35">
      <c r="J58" s="4"/>
      <c r="K58" s="5"/>
      <c r="L58" s="5"/>
    </row>
    <row r="59" spans="10:12" x14ac:dyDescent="0.35">
      <c r="J59" s="4"/>
      <c r="K59" s="5"/>
      <c r="L59" s="5"/>
    </row>
    <row r="60" spans="10:12" x14ac:dyDescent="0.35">
      <c r="J60" s="4"/>
      <c r="K60" s="5"/>
      <c r="L60" s="5"/>
    </row>
    <row r="61" spans="10:12" x14ac:dyDescent="0.35">
      <c r="J61" s="4"/>
      <c r="K61" s="5"/>
      <c r="L61" s="5"/>
    </row>
    <row r="62" spans="10:12" x14ac:dyDescent="0.35">
      <c r="J62" s="4"/>
      <c r="K62" s="5"/>
      <c r="L62" s="5"/>
    </row>
    <row r="63" spans="10:12" x14ac:dyDescent="0.35">
      <c r="J63" s="4"/>
      <c r="K63" s="5"/>
      <c r="L63" s="5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1EDD61-16E7-4C4E-836A-ED6F00AC7EA6}">
          <x14:formula1>
            <xm:f>EventTypes!$A$2:$A$16</xm:f>
          </x14:formula1>
          <xm:sqref>C2:C63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7962-E1C3-4454-B671-E05683B75313}">
  <dimension ref="A1:C42"/>
  <sheetViews>
    <sheetView zoomScale="75" workbookViewId="0">
      <selection activeCell="I13" sqref="I13"/>
    </sheetView>
  </sheetViews>
  <sheetFormatPr defaultColWidth="8.81640625" defaultRowHeight="14.5" x14ac:dyDescent="0.35"/>
  <cols>
    <col min="1" max="1" width="11.81640625" bestFit="1" customWidth="1"/>
    <col min="2" max="2" width="14" bestFit="1" customWidth="1"/>
    <col min="3" max="3" width="7.1796875" bestFit="1" customWidth="1"/>
  </cols>
  <sheetData>
    <row r="1" spans="1:3" x14ac:dyDescent="0.35">
      <c r="A1" s="1" t="s">
        <v>29</v>
      </c>
      <c r="B1" s="1" t="s">
        <v>30</v>
      </c>
      <c r="C1" s="1" t="s">
        <v>27</v>
      </c>
    </row>
    <row r="2" spans="1:3" x14ac:dyDescent="0.35">
      <c r="A2">
        <v>1</v>
      </c>
      <c r="B2" t="s">
        <v>104</v>
      </c>
      <c r="C2">
        <v>2</v>
      </c>
    </row>
    <row r="3" spans="1:3" x14ac:dyDescent="0.35">
      <c r="A3">
        <v>2</v>
      </c>
      <c r="B3" t="s">
        <v>48</v>
      </c>
      <c r="C3">
        <v>2</v>
      </c>
    </row>
    <row r="4" spans="1:3" x14ac:dyDescent="0.35">
      <c r="A4">
        <v>3</v>
      </c>
      <c r="B4" t="s">
        <v>49</v>
      </c>
      <c r="C4">
        <v>2</v>
      </c>
    </row>
    <row r="5" spans="1:3" x14ac:dyDescent="0.35">
      <c r="A5">
        <v>4</v>
      </c>
      <c r="B5" t="s">
        <v>50</v>
      </c>
      <c r="C5">
        <v>2</v>
      </c>
    </row>
    <row r="6" spans="1:3" x14ac:dyDescent="0.35">
      <c r="A6">
        <v>5</v>
      </c>
      <c r="B6" t="s">
        <v>51</v>
      </c>
      <c r="C6">
        <v>2</v>
      </c>
    </row>
    <row r="7" spans="1:3" x14ac:dyDescent="0.35">
      <c r="A7">
        <v>6</v>
      </c>
      <c r="B7" t="s">
        <v>105</v>
      </c>
      <c r="C7">
        <v>2</v>
      </c>
    </row>
    <row r="8" spans="1:3" x14ac:dyDescent="0.35">
      <c r="A8">
        <v>7</v>
      </c>
      <c r="B8" t="s">
        <v>106</v>
      </c>
      <c r="C8">
        <v>2</v>
      </c>
    </row>
    <row r="9" spans="1:3" x14ac:dyDescent="0.35">
      <c r="A9">
        <v>8</v>
      </c>
      <c r="B9" t="s">
        <v>52</v>
      </c>
      <c r="C9">
        <v>2</v>
      </c>
    </row>
    <row r="10" spans="1:3" x14ac:dyDescent="0.35">
      <c r="A10">
        <v>9</v>
      </c>
      <c r="B10" t="s">
        <v>53</v>
      </c>
      <c r="C10">
        <v>2</v>
      </c>
    </row>
    <row r="11" spans="1:3" x14ac:dyDescent="0.35">
      <c r="A11">
        <v>10</v>
      </c>
      <c r="B11" t="s">
        <v>54</v>
      </c>
      <c r="C11">
        <v>2</v>
      </c>
    </row>
    <row r="12" spans="1:3" x14ac:dyDescent="0.35">
      <c r="A12">
        <v>11</v>
      </c>
      <c r="B12" t="s">
        <v>55</v>
      </c>
      <c r="C12">
        <v>2</v>
      </c>
    </row>
    <row r="13" spans="1:3" x14ac:dyDescent="0.35">
      <c r="A13">
        <v>12</v>
      </c>
      <c r="B13" t="s">
        <v>56</v>
      </c>
      <c r="C13">
        <v>2</v>
      </c>
    </row>
    <row r="14" spans="1:3" x14ac:dyDescent="0.35">
      <c r="A14">
        <v>13</v>
      </c>
      <c r="B14" t="s">
        <v>57</v>
      </c>
      <c r="C14">
        <v>2</v>
      </c>
    </row>
    <row r="15" spans="1:3" x14ac:dyDescent="0.35">
      <c r="A15">
        <v>14</v>
      </c>
      <c r="B15" t="s">
        <v>58</v>
      </c>
      <c r="C15">
        <v>2</v>
      </c>
    </row>
    <row r="16" spans="1:3" x14ac:dyDescent="0.35">
      <c r="A16">
        <v>15</v>
      </c>
      <c r="B16" t="s">
        <v>59</v>
      </c>
      <c r="C16">
        <v>2</v>
      </c>
    </row>
    <row r="17" spans="1:3" x14ac:dyDescent="0.35">
      <c r="A17">
        <v>16</v>
      </c>
      <c r="B17" t="s">
        <v>60</v>
      </c>
      <c r="C17">
        <v>2</v>
      </c>
    </row>
    <row r="18" spans="1:3" x14ac:dyDescent="0.35">
      <c r="A18">
        <v>17</v>
      </c>
      <c r="B18" t="s">
        <v>61</v>
      </c>
      <c r="C18">
        <v>2</v>
      </c>
    </row>
    <row r="19" spans="1:3" x14ac:dyDescent="0.35">
      <c r="A19">
        <v>18</v>
      </c>
      <c r="B19" t="s">
        <v>62</v>
      </c>
      <c r="C19">
        <v>2</v>
      </c>
    </row>
    <row r="20" spans="1:3" x14ac:dyDescent="0.35">
      <c r="A20">
        <v>19</v>
      </c>
      <c r="B20" t="s">
        <v>63</v>
      </c>
      <c r="C20">
        <v>2</v>
      </c>
    </row>
    <row r="21" spans="1:3" x14ac:dyDescent="0.35">
      <c r="A21">
        <v>20</v>
      </c>
      <c r="B21" t="s">
        <v>64</v>
      </c>
      <c r="C21">
        <v>2</v>
      </c>
    </row>
    <row r="22" spans="1:3" x14ac:dyDescent="0.35">
      <c r="A22">
        <v>21</v>
      </c>
      <c r="B22" t="s">
        <v>107</v>
      </c>
      <c r="C22">
        <v>2</v>
      </c>
    </row>
    <row r="23" spans="1:3" x14ac:dyDescent="0.35">
      <c r="A23">
        <v>22</v>
      </c>
      <c r="B23" t="s">
        <v>65</v>
      </c>
      <c r="C23">
        <v>2</v>
      </c>
    </row>
    <row r="24" spans="1:3" x14ac:dyDescent="0.35">
      <c r="A24">
        <v>23</v>
      </c>
      <c r="B24" t="s">
        <v>108</v>
      </c>
      <c r="C24">
        <v>2</v>
      </c>
    </row>
    <row r="25" spans="1:3" x14ac:dyDescent="0.35">
      <c r="A25">
        <v>24</v>
      </c>
      <c r="B25" t="s">
        <v>66</v>
      </c>
      <c r="C25">
        <v>2</v>
      </c>
    </row>
    <row r="26" spans="1:3" x14ac:dyDescent="0.35">
      <c r="A26">
        <v>25</v>
      </c>
      <c r="B26" t="s">
        <v>109</v>
      </c>
      <c r="C26">
        <v>2</v>
      </c>
    </row>
    <row r="27" spans="1:3" x14ac:dyDescent="0.35">
      <c r="A27">
        <v>26</v>
      </c>
      <c r="B27" t="s">
        <v>67</v>
      </c>
      <c r="C27">
        <v>2</v>
      </c>
    </row>
    <row r="28" spans="1:3" x14ac:dyDescent="0.35">
      <c r="A28">
        <v>27</v>
      </c>
      <c r="B28" t="s">
        <v>68</v>
      </c>
      <c r="C28">
        <v>2</v>
      </c>
    </row>
    <row r="29" spans="1:3" x14ac:dyDescent="0.35">
      <c r="A29">
        <v>28</v>
      </c>
      <c r="B29" t="s">
        <v>69</v>
      </c>
      <c r="C29">
        <v>2</v>
      </c>
    </row>
    <row r="30" spans="1:3" x14ac:dyDescent="0.35">
      <c r="A30">
        <v>29</v>
      </c>
      <c r="B30" t="s">
        <v>70</v>
      </c>
      <c r="C30">
        <v>2</v>
      </c>
    </row>
    <row r="31" spans="1:3" x14ac:dyDescent="0.35">
      <c r="A31">
        <v>30</v>
      </c>
      <c r="B31" t="s">
        <v>71</v>
      </c>
      <c r="C31">
        <v>2</v>
      </c>
    </row>
    <row r="32" spans="1:3" x14ac:dyDescent="0.35">
      <c r="A32">
        <v>31</v>
      </c>
      <c r="B32" t="s">
        <v>72</v>
      </c>
      <c r="C32">
        <v>2</v>
      </c>
    </row>
    <row r="33" spans="1:3" x14ac:dyDescent="0.35">
      <c r="A33">
        <v>32</v>
      </c>
      <c r="B33" t="s">
        <v>73</v>
      </c>
      <c r="C33">
        <v>2</v>
      </c>
    </row>
    <row r="34" spans="1:3" x14ac:dyDescent="0.35">
      <c r="A34">
        <v>33</v>
      </c>
      <c r="B34" t="s">
        <v>74</v>
      </c>
      <c r="C34">
        <v>2</v>
      </c>
    </row>
    <row r="35" spans="1:3" x14ac:dyDescent="0.35">
      <c r="A35">
        <v>34</v>
      </c>
      <c r="B35" t="s">
        <v>110</v>
      </c>
      <c r="C35">
        <v>2</v>
      </c>
    </row>
    <row r="36" spans="1:3" x14ac:dyDescent="0.35">
      <c r="A36">
        <v>35</v>
      </c>
      <c r="B36" t="s">
        <v>75</v>
      </c>
      <c r="C36">
        <v>2</v>
      </c>
    </row>
    <row r="37" spans="1:3" x14ac:dyDescent="0.35">
      <c r="A37">
        <v>36</v>
      </c>
      <c r="B37" t="s">
        <v>76</v>
      </c>
      <c r="C37">
        <v>2</v>
      </c>
    </row>
    <row r="38" spans="1:3" x14ac:dyDescent="0.35">
      <c r="A38">
        <v>37</v>
      </c>
      <c r="B38" t="s">
        <v>77</v>
      </c>
      <c r="C38">
        <v>2</v>
      </c>
    </row>
    <row r="39" spans="1:3" x14ac:dyDescent="0.35">
      <c r="A39">
        <v>38</v>
      </c>
      <c r="B39" t="s">
        <v>78</v>
      </c>
      <c r="C39">
        <v>1</v>
      </c>
    </row>
    <row r="40" spans="1:3" x14ac:dyDescent="0.35">
      <c r="A40">
        <v>39</v>
      </c>
      <c r="B40" t="s">
        <v>79</v>
      </c>
      <c r="C40">
        <v>1</v>
      </c>
    </row>
    <row r="41" spans="1:3" x14ac:dyDescent="0.35">
      <c r="A41">
        <v>40</v>
      </c>
      <c r="B41" t="s">
        <v>80</v>
      </c>
      <c r="C41">
        <v>1</v>
      </c>
    </row>
    <row r="42" spans="1:3" x14ac:dyDescent="0.35">
      <c r="A42">
        <v>41</v>
      </c>
      <c r="B42" t="s">
        <v>81</v>
      </c>
      <c r="C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A21B-584F-4957-BCD6-8FFB7A80A030}">
  <dimension ref="A1:AF42"/>
  <sheetViews>
    <sheetView topLeftCell="M1" zoomScale="66" workbookViewId="0">
      <selection activeCell="AC1" sqref="AC1"/>
    </sheetView>
  </sheetViews>
  <sheetFormatPr defaultColWidth="8.81640625" defaultRowHeight="14.5" x14ac:dyDescent="0.35"/>
  <cols>
    <col min="1" max="1" width="12.1796875" bestFit="1" customWidth="1"/>
    <col min="2" max="2" width="14.54296875" bestFit="1" customWidth="1"/>
    <col min="3" max="10" width="15" bestFit="1" customWidth="1"/>
    <col min="11" max="11" width="14.54296875" bestFit="1" customWidth="1"/>
    <col min="12" max="12" width="14.1796875" bestFit="1" customWidth="1"/>
    <col min="13" max="20" width="14.54296875" bestFit="1" customWidth="1"/>
    <col min="21" max="21" width="15" bestFit="1" customWidth="1"/>
    <col min="22" max="22" width="14.54296875" bestFit="1" customWidth="1"/>
    <col min="23" max="31" width="15" bestFit="1" customWidth="1"/>
    <col min="32" max="32" width="14.54296875" bestFit="1" customWidth="1"/>
  </cols>
  <sheetData>
    <row r="1" spans="1:32" x14ac:dyDescent="0.35">
      <c r="A1" s="1" t="s">
        <v>29</v>
      </c>
      <c r="B1" s="2">
        <v>46082</v>
      </c>
      <c r="C1" s="2">
        <v>46083</v>
      </c>
      <c r="D1" s="2">
        <v>46084</v>
      </c>
      <c r="E1" s="2">
        <v>46085</v>
      </c>
      <c r="F1" s="2">
        <v>46086</v>
      </c>
      <c r="G1" s="2">
        <v>46087</v>
      </c>
      <c r="H1" s="2">
        <v>46088</v>
      </c>
      <c r="I1" s="2">
        <v>46089</v>
      </c>
      <c r="J1" s="2">
        <v>46090</v>
      </c>
      <c r="K1" s="2">
        <v>46091</v>
      </c>
      <c r="L1" s="2">
        <v>46092</v>
      </c>
      <c r="M1" s="2">
        <v>46093</v>
      </c>
      <c r="N1" s="2">
        <v>46094</v>
      </c>
      <c r="O1" s="2">
        <v>46095</v>
      </c>
      <c r="P1" s="2">
        <v>46096</v>
      </c>
      <c r="Q1" s="2">
        <v>46097</v>
      </c>
      <c r="R1" s="2">
        <v>46098</v>
      </c>
      <c r="S1" s="2">
        <v>46099</v>
      </c>
      <c r="T1" s="2">
        <v>46100</v>
      </c>
      <c r="U1" s="2">
        <v>46101</v>
      </c>
      <c r="V1" s="2">
        <v>46102</v>
      </c>
      <c r="W1" s="2">
        <v>46103</v>
      </c>
      <c r="X1" s="2">
        <v>46104</v>
      </c>
      <c r="Y1" s="2">
        <v>46105</v>
      </c>
      <c r="Z1" s="2">
        <v>46106</v>
      </c>
      <c r="AA1" s="2">
        <v>46107</v>
      </c>
      <c r="AB1" s="2">
        <v>46108</v>
      </c>
      <c r="AC1" s="2">
        <v>46109</v>
      </c>
      <c r="AD1" s="2">
        <v>46110</v>
      </c>
      <c r="AE1" s="2">
        <v>46111</v>
      </c>
      <c r="AF1" s="2">
        <v>46112</v>
      </c>
    </row>
    <row r="2" spans="1:32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35">
      <c r="A3">
        <v>2</v>
      </c>
    </row>
    <row r="4" spans="1:32" x14ac:dyDescent="0.35">
      <c r="A4">
        <v>3</v>
      </c>
      <c r="N4">
        <v>1</v>
      </c>
      <c r="O4">
        <v>1</v>
      </c>
      <c r="P4">
        <v>1</v>
      </c>
    </row>
    <row r="5" spans="1:32" x14ac:dyDescent="0.35">
      <c r="A5">
        <v>4</v>
      </c>
      <c r="N5">
        <v>1</v>
      </c>
      <c r="O5">
        <v>1</v>
      </c>
      <c r="P5">
        <v>1</v>
      </c>
    </row>
    <row r="6" spans="1:32" x14ac:dyDescent="0.35">
      <c r="A6">
        <v>5</v>
      </c>
    </row>
    <row r="7" spans="1:32" x14ac:dyDescent="0.35">
      <c r="A7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2" x14ac:dyDescent="0.35">
      <c r="A8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2" x14ac:dyDescent="0.35">
      <c r="A9">
        <v>8</v>
      </c>
    </row>
    <row r="10" spans="1:32" x14ac:dyDescent="0.35">
      <c r="A10">
        <v>9</v>
      </c>
      <c r="B10">
        <v>1</v>
      </c>
      <c r="K10">
        <v>1</v>
      </c>
      <c r="M10">
        <v>1</v>
      </c>
      <c r="N10">
        <v>1</v>
      </c>
      <c r="O10">
        <v>1</v>
      </c>
      <c r="P10">
        <v>1</v>
      </c>
      <c r="R10">
        <v>1</v>
      </c>
      <c r="Y10">
        <v>1</v>
      </c>
      <c r="AF10">
        <v>1</v>
      </c>
    </row>
    <row r="11" spans="1:32" x14ac:dyDescent="0.35">
      <c r="A11">
        <v>10</v>
      </c>
    </row>
    <row r="12" spans="1:32" x14ac:dyDescent="0.35">
      <c r="A12">
        <v>11</v>
      </c>
    </row>
    <row r="13" spans="1:32" x14ac:dyDescent="0.35">
      <c r="A13">
        <v>12</v>
      </c>
    </row>
    <row r="14" spans="1:32" x14ac:dyDescent="0.35">
      <c r="A14">
        <v>13</v>
      </c>
      <c r="B14">
        <v>1</v>
      </c>
      <c r="C14">
        <v>1</v>
      </c>
    </row>
    <row r="15" spans="1:32" x14ac:dyDescent="0.35">
      <c r="A15">
        <v>14</v>
      </c>
      <c r="U15">
        <v>1</v>
      </c>
    </row>
    <row r="16" spans="1:32" x14ac:dyDescent="0.35">
      <c r="A16">
        <v>15</v>
      </c>
    </row>
    <row r="17" spans="1:32" x14ac:dyDescent="0.35">
      <c r="A17">
        <v>16</v>
      </c>
      <c r="B17">
        <v>1</v>
      </c>
    </row>
    <row r="18" spans="1:32" x14ac:dyDescent="0.35">
      <c r="A18">
        <v>17</v>
      </c>
    </row>
    <row r="19" spans="1:32" x14ac:dyDescent="0.35">
      <c r="A19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32" x14ac:dyDescent="0.35">
      <c r="A20">
        <v>19</v>
      </c>
    </row>
    <row r="21" spans="1:32" x14ac:dyDescent="0.35">
      <c r="A21">
        <v>20</v>
      </c>
    </row>
    <row r="22" spans="1:32" x14ac:dyDescent="0.35">
      <c r="A22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 x14ac:dyDescent="0.35">
      <c r="A23">
        <v>22</v>
      </c>
      <c r="B23">
        <v>1</v>
      </c>
      <c r="C23">
        <v>1</v>
      </c>
    </row>
    <row r="24" spans="1:32" x14ac:dyDescent="0.35">
      <c r="A24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</row>
    <row r="25" spans="1:32" x14ac:dyDescent="0.35">
      <c r="A25">
        <v>24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32" x14ac:dyDescent="0.35">
      <c r="A26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  <row r="27" spans="1:32" x14ac:dyDescent="0.35">
      <c r="A27">
        <v>26</v>
      </c>
    </row>
    <row r="28" spans="1:32" x14ac:dyDescent="0.35">
      <c r="A28">
        <v>27</v>
      </c>
      <c r="AF28">
        <v>1</v>
      </c>
    </row>
    <row r="29" spans="1:32" x14ac:dyDescent="0.35">
      <c r="A29">
        <v>28</v>
      </c>
      <c r="U29">
        <v>1</v>
      </c>
      <c r="V29">
        <v>1</v>
      </c>
    </row>
    <row r="30" spans="1:32" x14ac:dyDescent="0.35">
      <c r="A30">
        <v>29</v>
      </c>
      <c r="N30">
        <v>1</v>
      </c>
      <c r="O30">
        <v>1</v>
      </c>
      <c r="P30">
        <v>1</v>
      </c>
    </row>
    <row r="31" spans="1:32" x14ac:dyDescent="0.35">
      <c r="A31">
        <v>30</v>
      </c>
    </row>
    <row r="32" spans="1:32" x14ac:dyDescent="0.35">
      <c r="A32">
        <v>31</v>
      </c>
    </row>
    <row r="33" spans="1:28" x14ac:dyDescent="0.35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AB33">
        <v>1</v>
      </c>
    </row>
    <row r="34" spans="1:28" x14ac:dyDescent="0.35">
      <c r="A34">
        <v>33</v>
      </c>
      <c r="H34">
        <v>1</v>
      </c>
      <c r="I34">
        <v>1</v>
      </c>
      <c r="V34">
        <v>1</v>
      </c>
    </row>
    <row r="35" spans="1:28" x14ac:dyDescent="0.35">
      <c r="A35">
        <v>34</v>
      </c>
      <c r="B35">
        <v>1</v>
      </c>
      <c r="C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</row>
    <row r="36" spans="1:28" x14ac:dyDescent="0.35">
      <c r="A36">
        <v>35</v>
      </c>
    </row>
    <row r="37" spans="1:28" x14ac:dyDescent="0.35">
      <c r="A37">
        <v>36</v>
      </c>
    </row>
    <row r="38" spans="1:28" x14ac:dyDescent="0.35">
      <c r="A38">
        <v>37</v>
      </c>
      <c r="P38">
        <v>1</v>
      </c>
      <c r="T38">
        <v>1</v>
      </c>
    </row>
    <row r="39" spans="1:28" x14ac:dyDescent="0.35">
      <c r="A39">
        <v>38</v>
      </c>
      <c r="O39">
        <v>1</v>
      </c>
    </row>
    <row r="40" spans="1:28" x14ac:dyDescent="0.35">
      <c r="A40">
        <v>39</v>
      </c>
      <c r="W40">
        <v>1</v>
      </c>
    </row>
    <row r="41" spans="1:28" x14ac:dyDescent="0.35">
      <c r="A41">
        <v>40</v>
      </c>
      <c r="V41">
        <v>1</v>
      </c>
      <c r="X41">
        <v>1</v>
      </c>
      <c r="Y41">
        <v>1</v>
      </c>
      <c r="Z41">
        <v>1</v>
      </c>
      <c r="AA41">
        <v>1</v>
      </c>
      <c r="AB41">
        <v>1</v>
      </c>
    </row>
    <row r="42" spans="1:28" x14ac:dyDescent="0.35">
      <c r="A42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9287-6D87-488B-B523-72276289E9B7}">
  <dimension ref="A1:AQ43"/>
  <sheetViews>
    <sheetView zoomScale="86" workbookViewId="0">
      <selection activeCell="AQ2" sqref="AQ2"/>
    </sheetView>
  </sheetViews>
  <sheetFormatPr defaultColWidth="8.81640625" defaultRowHeight="14.5" x14ac:dyDescent="0.35"/>
  <cols>
    <col min="1" max="1" width="12.1796875" bestFit="1" customWidth="1"/>
    <col min="2" max="2" width="11.1796875" bestFit="1" customWidth="1"/>
  </cols>
  <sheetData>
    <row r="1" spans="1:43" s="1" customFormat="1" x14ac:dyDescent="0.35">
      <c r="A1" s="1" t="str">
        <f>Events!B1</f>
        <v>Event</v>
      </c>
      <c r="B1" s="1" t="str">
        <f>Events!J1</f>
        <v>Date</v>
      </c>
      <c r="C1" s="1" t="str">
        <f>Employees!B2</f>
        <v>Agnes Anna</v>
      </c>
      <c r="D1" s="1" t="str">
        <f>Employees!B3</f>
        <v xml:space="preserve">Alda/ Miðó </v>
      </c>
      <c r="E1" s="1" t="str">
        <f>Employees!B4</f>
        <v xml:space="preserve">Anna Soffía </v>
      </c>
      <c r="F1" s="1" t="str">
        <f>Employees!B5</f>
        <v>Arnar Ragn</v>
      </c>
      <c r="G1" s="1" t="str">
        <f>Employees!B6</f>
        <v xml:space="preserve">Auður </v>
      </c>
      <c r="H1" s="1" t="str">
        <f>Employees!B7</f>
        <v>Ágústa</v>
      </c>
      <c r="I1" s="1" t="str">
        <f>Employees!B8</f>
        <v>Daníel</v>
      </c>
      <c r="J1" s="1" t="str">
        <f>Employees!B9</f>
        <v xml:space="preserve">Elísabet </v>
      </c>
      <c r="K1" s="1" t="str">
        <f>Employees!B10</f>
        <v xml:space="preserve">Elmar </v>
      </c>
      <c r="L1" s="1" t="str">
        <f>Employees!B11</f>
        <v xml:space="preserve">Erna </v>
      </c>
      <c r="M1" s="1" t="str">
        <f>Employees!B12</f>
        <v xml:space="preserve">Gaukur </v>
      </c>
      <c r="N1" s="1" t="str">
        <f>Employees!B13</f>
        <v>Gréta</v>
      </c>
      <c r="O1" s="1" t="str">
        <f>Employees!B14</f>
        <v xml:space="preserve">Guðný  </v>
      </c>
      <c r="P1" s="1" t="str">
        <f>Employees!B15</f>
        <v xml:space="preserve">Hólmfríður </v>
      </c>
      <c r="Q1" s="1" t="str">
        <f>Employees!B16</f>
        <v>Hrafnkell</v>
      </c>
      <c r="R1" s="1" t="str">
        <f>Employees!B17</f>
        <v xml:space="preserve">Hrannar </v>
      </c>
      <c r="S1" s="1" t="str">
        <f>Employees!B18</f>
        <v xml:space="preserve">Jórunn  </v>
      </c>
      <c r="T1" s="1" t="str">
        <f>Employees!B19</f>
        <v>Katrín Hel</v>
      </c>
      <c r="U1" s="1" t="str">
        <f>Employees!B20</f>
        <v xml:space="preserve">Katrín Sig </v>
      </c>
      <c r="V1" s="1" t="str">
        <f>Employees!B21</f>
        <v xml:space="preserve">Laufey </v>
      </c>
      <c r="W1" s="1" t="str">
        <f>Employees!B22</f>
        <v>Magnea</v>
      </c>
      <c r="X1" s="1" t="str">
        <f>Employees!B23</f>
        <v xml:space="preserve">Magnús  </v>
      </c>
      <c r="Y1" s="1" t="str">
        <f>Employees!B24</f>
        <v>Margrét Lára</v>
      </c>
      <c r="Z1" s="1" t="str">
        <f>Employees!B25</f>
        <v>Orri</v>
      </c>
      <c r="AA1" s="1" t="str">
        <f>Employees!B26</f>
        <v>Palli</v>
      </c>
      <c r="AB1" s="1" t="str">
        <f>Employees!B27</f>
        <v xml:space="preserve">Rut </v>
      </c>
      <c r="AC1" s="1" t="str">
        <f>Employees!B28</f>
        <v>Sara B</v>
      </c>
      <c r="AD1" s="1" t="str">
        <f>Employees!B29</f>
        <v xml:space="preserve">Sara Júlía </v>
      </c>
      <c r="AE1" s="1" t="str">
        <f>Employees!B30</f>
        <v xml:space="preserve">Selma </v>
      </c>
      <c r="AF1" s="1" t="str">
        <f>Employees!B31</f>
        <v xml:space="preserve">Sigríður </v>
      </c>
      <c r="AG1" s="1" t="str">
        <f>Employees!B32</f>
        <v>Sveinn</v>
      </c>
      <c r="AH1" s="1" t="str">
        <f>Employees!B33</f>
        <v xml:space="preserve">Sæmundur </v>
      </c>
      <c r="AI1" s="1" t="str">
        <f>Employees!B34</f>
        <v xml:space="preserve">Valdís </v>
      </c>
      <c r="AJ1" s="1" t="str">
        <f>Employees!B35</f>
        <v>Vero</v>
      </c>
      <c r="AK1" s="1" t="str">
        <f>Employees!B36</f>
        <v xml:space="preserve">Védís </v>
      </c>
      <c r="AL1" s="1" t="str">
        <f>Employees!B37</f>
        <v xml:space="preserve">Unnar </v>
      </c>
      <c r="AM1" s="1" t="str">
        <f>Employees!B38</f>
        <v>Ömmi</v>
      </c>
      <c r="AN1" s="1" t="str">
        <f>Employees!B39</f>
        <v xml:space="preserve">Arnar </v>
      </c>
      <c r="AO1" s="1" t="str">
        <f>Employees!B40</f>
        <v xml:space="preserve">Róbert </v>
      </c>
      <c r="AP1" s="1" t="str">
        <f>Employees!B41</f>
        <v xml:space="preserve">Jara </v>
      </c>
      <c r="AQ1" s="1" t="str">
        <f>Employees!B42</f>
        <v xml:space="preserve">Þórey </v>
      </c>
    </row>
    <row r="2" spans="1:43" x14ac:dyDescent="0.35">
      <c r="A2" t="str">
        <f>Events!B2</f>
        <v>JS</v>
      </c>
      <c r="B2" s="4">
        <f>Events!J2</f>
        <v>46082</v>
      </c>
    </row>
    <row r="3" spans="1:43" x14ac:dyDescent="0.35">
      <c r="A3" t="str">
        <f>Events!B3</f>
        <v>Sinfó</v>
      </c>
      <c r="B3" s="4">
        <f>Events!J3</f>
        <v>46086</v>
      </c>
    </row>
    <row r="4" spans="1:43" x14ac:dyDescent="0.35">
      <c r="A4" t="str">
        <f>Events!B4</f>
        <v>Tón</v>
      </c>
      <c r="B4" s="4">
        <f>Events!J4</f>
        <v>46086</v>
      </c>
    </row>
    <row r="5" spans="1:43" x14ac:dyDescent="0.35">
      <c r="A5" t="str">
        <f>Events!B5</f>
        <v>RMF</v>
      </c>
      <c r="B5" s="4">
        <f>Events!J5</f>
        <v>46087</v>
      </c>
    </row>
    <row r="6" spans="1:43" x14ac:dyDescent="0.35">
      <c r="A6" t="str">
        <f>Events!B6</f>
        <v>HAM</v>
      </c>
      <c r="B6" s="4">
        <f>Events!J6</f>
        <v>46087</v>
      </c>
    </row>
    <row r="7" spans="1:43" x14ac:dyDescent="0.35">
      <c r="A7" t="str">
        <f>Events!B7</f>
        <v>IS</v>
      </c>
      <c r="B7" s="4">
        <f>Events!J7</f>
        <v>46088</v>
      </c>
    </row>
    <row r="8" spans="1:43" x14ac:dyDescent="0.35">
      <c r="A8" t="str">
        <f>Events!B8</f>
        <v>IS</v>
      </c>
      <c r="B8" s="4">
        <f>Events!J8</f>
        <v>46088</v>
      </c>
    </row>
    <row r="9" spans="1:43" x14ac:dyDescent="0.35">
      <c r="A9" t="str">
        <f>Events!B9</f>
        <v>PD</v>
      </c>
      <c r="B9" s="4">
        <f>Events!J9</f>
        <v>46090</v>
      </c>
    </row>
    <row r="10" spans="1:43" x14ac:dyDescent="0.35">
      <c r="A10" t="str">
        <f>Events!B10</f>
        <v>Sinfó</v>
      </c>
      <c r="B10" s="4">
        <f>Events!J10</f>
        <v>46093</v>
      </c>
    </row>
    <row r="11" spans="1:43" x14ac:dyDescent="0.35">
      <c r="A11" t="str">
        <f>Events!B11</f>
        <v>Sinfó</v>
      </c>
      <c r="B11" s="4">
        <f>Events!J11</f>
        <v>46094</v>
      </c>
    </row>
    <row r="12" spans="1:43" x14ac:dyDescent="0.35">
      <c r="A12" t="str">
        <f>Events!B12</f>
        <v>SB</v>
      </c>
      <c r="B12" s="4">
        <f>Events!J12</f>
        <v>46094</v>
      </c>
    </row>
    <row r="13" spans="1:43" x14ac:dyDescent="0.35">
      <c r="A13" t="str">
        <f>Events!B13</f>
        <v>GB</v>
      </c>
      <c r="B13" s="4">
        <f>Events!J13</f>
        <v>46095</v>
      </c>
    </row>
    <row r="14" spans="1:43" x14ac:dyDescent="0.35">
      <c r="A14" t="str">
        <f>Events!B14</f>
        <v>ITV</v>
      </c>
      <c r="B14" s="4">
        <f>Events!J14</f>
        <v>46099</v>
      </c>
    </row>
    <row r="15" spans="1:43" x14ac:dyDescent="0.35">
      <c r="A15" t="str">
        <f>Events!B15</f>
        <v>DS</v>
      </c>
      <c r="B15" s="4">
        <f>Events!J15</f>
        <v>46100</v>
      </c>
    </row>
    <row r="16" spans="1:43" x14ac:dyDescent="0.35">
      <c r="A16" t="str">
        <f>Events!B16</f>
        <v>DS</v>
      </c>
      <c r="B16" s="4">
        <f>Events!J16</f>
        <v>46101</v>
      </c>
    </row>
    <row r="17" spans="1:2" x14ac:dyDescent="0.35">
      <c r="A17" t="str">
        <f>Events!B17</f>
        <v>MT</v>
      </c>
      <c r="B17" s="4">
        <f>Events!J17</f>
        <v>46101</v>
      </c>
    </row>
    <row r="18" spans="1:2" x14ac:dyDescent="0.35">
      <c r="A18" t="str">
        <f>Events!B18</f>
        <v>MT</v>
      </c>
      <c r="B18" s="4">
        <f>Events!J18</f>
        <v>46102</v>
      </c>
    </row>
    <row r="19" spans="1:2" x14ac:dyDescent="0.35">
      <c r="A19" t="str">
        <f>Events!B19</f>
        <v>MT</v>
      </c>
      <c r="B19" s="4">
        <f>Events!J19</f>
        <v>46103</v>
      </c>
    </row>
    <row r="20" spans="1:2" x14ac:dyDescent="0.35">
      <c r="A20" t="str">
        <f>Events!B20</f>
        <v>MT</v>
      </c>
      <c r="B20" s="4">
        <f>Events!J20</f>
        <v>46104</v>
      </c>
    </row>
    <row r="21" spans="1:2" x14ac:dyDescent="0.35">
      <c r="A21" t="str">
        <f>Events!B21</f>
        <v>MT</v>
      </c>
      <c r="B21" s="4">
        <f>Events!J21</f>
        <v>46109</v>
      </c>
    </row>
    <row r="22" spans="1:2" x14ac:dyDescent="0.35">
      <c r="A22" t="str">
        <f>Events!B22</f>
        <v>PF</v>
      </c>
      <c r="B22" s="4">
        <f>Events!J22</f>
        <v>46102</v>
      </c>
    </row>
    <row r="23" spans="1:2" x14ac:dyDescent="0.35">
      <c r="A23" t="str">
        <f>Events!B23</f>
        <v>RP</v>
      </c>
      <c r="B23" s="4">
        <f>Events!J23</f>
        <v>46108</v>
      </c>
    </row>
    <row r="24" spans="1:2" x14ac:dyDescent="0.35">
      <c r="A24" t="str">
        <f>Events!B24</f>
        <v>Fam</v>
      </c>
      <c r="B24" s="4">
        <f>Events!J24</f>
        <v>46110</v>
      </c>
    </row>
    <row r="25" spans="1:2" x14ac:dyDescent="0.35">
      <c r="A25" t="str">
        <f>Events!B25</f>
        <v>HT</v>
      </c>
      <c r="B25" s="4">
        <f>Events!J25</f>
        <v>46095</v>
      </c>
    </row>
    <row r="26" spans="1:2" x14ac:dyDescent="0.35">
      <c r="A26" t="str">
        <f>Events!B26</f>
        <v>HT</v>
      </c>
      <c r="B26" s="4">
        <f>Events!J26</f>
        <v>46102</v>
      </c>
    </row>
    <row r="27" spans="1:2" x14ac:dyDescent="0.35">
      <c r="A27" t="str">
        <f>Events!B27</f>
        <v>HT</v>
      </c>
      <c r="B27" s="4">
        <f>Events!J27</f>
        <v>46109</v>
      </c>
    </row>
    <row r="28" spans="1:2" x14ac:dyDescent="0.35">
      <c r="A28" t="str">
        <f>Events!B28</f>
        <v>EÁ</v>
      </c>
      <c r="B28" s="4">
        <f>Events!J28</f>
        <v>46088</v>
      </c>
    </row>
    <row r="29" spans="1:2" x14ac:dyDescent="0.35">
      <c r="A29" t="str">
        <f>Events!B29</f>
        <v>EÁ</v>
      </c>
      <c r="B29" s="4">
        <f>Events!J29</f>
        <v>46102</v>
      </c>
    </row>
    <row r="30" spans="1:2" x14ac:dyDescent="0.35">
      <c r="A30" t="str">
        <f>Events!B30</f>
        <v>EÁ</v>
      </c>
      <c r="B30" s="4">
        <f>Events!J30</f>
        <v>46109</v>
      </c>
    </row>
    <row r="31" spans="1:2" x14ac:dyDescent="0.35">
      <c r="A31" t="str">
        <f>Events!B31</f>
        <v>Múlinn</v>
      </c>
      <c r="B31" s="4">
        <f>Events!J31</f>
        <v>46085</v>
      </c>
    </row>
    <row r="32" spans="1:2" x14ac:dyDescent="0.35">
      <c r="A32" t="str">
        <f>Events!B32</f>
        <v>Múlinn</v>
      </c>
      <c r="B32" s="4">
        <f>Events!J32</f>
        <v>46092</v>
      </c>
    </row>
    <row r="33" spans="1:2" x14ac:dyDescent="0.35">
      <c r="A33" t="str">
        <f>Events!B33</f>
        <v>Múlinn</v>
      </c>
      <c r="B33" s="4">
        <f>Events!J33</f>
        <v>46099</v>
      </c>
    </row>
    <row r="34" spans="1:2" x14ac:dyDescent="0.35">
      <c r="A34" t="str">
        <f>Events!B34</f>
        <v>Múlinn</v>
      </c>
      <c r="B34" s="4">
        <f>Events!J34</f>
        <v>46106</v>
      </c>
    </row>
    <row r="35" spans="1:2" x14ac:dyDescent="0.35">
      <c r="A35" t="str">
        <f>Events!B35</f>
        <v>UR</v>
      </c>
      <c r="B35" s="4">
        <f>Events!J35</f>
        <v>46091</v>
      </c>
    </row>
    <row r="36" spans="1:2" x14ac:dyDescent="0.35">
      <c r="A36" t="str">
        <f>Events!B36</f>
        <v>KD</v>
      </c>
      <c r="B36" s="4">
        <f>Events!J36</f>
        <v>46098</v>
      </c>
    </row>
    <row r="37" spans="1:2" x14ac:dyDescent="0.35">
      <c r="A37" t="str">
        <f>Events!B37</f>
        <v>JN</v>
      </c>
      <c r="B37" s="4">
        <f>Events!J37</f>
        <v>46097</v>
      </c>
    </row>
    <row r="38" spans="1:2" x14ac:dyDescent="0.35">
      <c r="A38" t="str">
        <f>Events!B38</f>
        <v>K&amp;B</v>
      </c>
      <c r="B38" s="4">
        <f>Events!J38</f>
        <v>46103</v>
      </c>
    </row>
    <row r="39" spans="1:2" x14ac:dyDescent="0.35">
      <c r="A39" t="str">
        <f>Events!B39</f>
        <v>Svef</v>
      </c>
      <c r="B39" s="4">
        <f>Events!J39</f>
        <v>46107</v>
      </c>
    </row>
    <row r="40" spans="1:2" x14ac:dyDescent="0.35">
      <c r="A40" t="str">
        <f>Events!B40</f>
        <v>Sígildir</v>
      </c>
      <c r="B40" s="4">
        <f>Events!J40</f>
        <v>46103</v>
      </c>
    </row>
    <row r="41" spans="1:2" x14ac:dyDescent="0.35">
      <c r="A41" t="str">
        <f>Events!B41</f>
        <v>tón</v>
      </c>
      <c r="B41" s="4">
        <f>Events!J41</f>
        <v>46087</v>
      </c>
    </row>
    <row r="42" spans="1:2" x14ac:dyDescent="0.35">
      <c r="A42" t="str">
        <f>Events!B42</f>
        <v>ÖL</v>
      </c>
      <c r="B42" s="4">
        <f>Events!J42</f>
        <v>46092</v>
      </c>
    </row>
    <row r="43" spans="1:2" x14ac:dyDescent="0.35">
      <c r="A43" t="str">
        <f>Events!B43</f>
        <v>RF</v>
      </c>
      <c r="B43" s="4">
        <f>Events!J43</f>
        <v>46112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54E1-26EA-4C6C-A87B-6FC746D3DCD2}">
  <dimension ref="A1:E36"/>
  <sheetViews>
    <sheetView topLeftCell="A12" zoomScale="90" workbookViewId="0">
      <selection activeCell="G30" sqref="G30"/>
    </sheetView>
  </sheetViews>
  <sheetFormatPr defaultColWidth="8.81640625" defaultRowHeight="14.5" x14ac:dyDescent="0.35"/>
  <cols>
    <col min="1" max="1" width="18.81640625" bestFit="1" customWidth="1"/>
  </cols>
  <sheetData>
    <row r="1" spans="1:5" x14ac:dyDescent="0.35">
      <c r="A1" s="1" t="s">
        <v>36</v>
      </c>
      <c r="B1" s="1" t="s">
        <v>37</v>
      </c>
      <c r="C1" s="1" t="s">
        <v>38</v>
      </c>
    </row>
    <row r="2" spans="1:5" x14ac:dyDescent="0.35">
      <c r="A2" t="s">
        <v>39</v>
      </c>
      <c r="B2">
        <v>0</v>
      </c>
      <c r="C2">
        <v>50</v>
      </c>
    </row>
    <row r="3" spans="1:5" x14ac:dyDescent="0.35">
      <c r="A3" t="s">
        <v>39</v>
      </c>
      <c r="B3">
        <v>1</v>
      </c>
      <c r="C3">
        <v>30</v>
      </c>
    </row>
    <row r="4" spans="1:5" x14ac:dyDescent="0.35">
      <c r="A4" t="s">
        <v>39</v>
      </c>
      <c r="B4">
        <v>2</v>
      </c>
      <c r="C4">
        <v>15</v>
      </c>
    </row>
    <row r="5" spans="1:5" x14ac:dyDescent="0.35">
      <c r="A5" t="s">
        <v>39</v>
      </c>
      <c r="B5">
        <v>3</v>
      </c>
      <c r="C5">
        <v>-10</v>
      </c>
    </row>
    <row r="6" spans="1:5" x14ac:dyDescent="0.35">
      <c r="A6" t="s">
        <v>39</v>
      </c>
      <c r="B6">
        <v>4</v>
      </c>
      <c r="C6">
        <v>-50</v>
      </c>
    </row>
    <row r="7" spans="1:5" x14ac:dyDescent="0.35">
      <c r="A7" t="s">
        <v>40</v>
      </c>
      <c r="B7">
        <v>0</v>
      </c>
      <c r="C7">
        <v>50</v>
      </c>
      <c r="E7" s="3"/>
    </row>
    <row r="8" spans="1:5" x14ac:dyDescent="0.35">
      <c r="A8" t="s">
        <v>40</v>
      </c>
      <c r="B8">
        <v>1</v>
      </c>
      <c r="C8">
        <v>25</v>
      </c>
    </row>
    <row r="9" spans="1:5" x14ac:dyDescent="0.35">
      <c r="A9" t="s">
        <v>40</v>
      </c>
      <c r="B9">
        <v>2</v>
      </c>
      <c r="C9">
        <v>0</v>
      </c>
    </row>
    <row r="10" spans="1:5" x14ac:dyDescent="0.35">
      <c r="A10" t="s">
        <v>40</v>
      </c>
      <c r="B10">
        <v>3</v>
      </c>
      <c r="C10">
        <v>-25</v>
      </c>
    </row>
    <row r="11" spans="1:5" x14ac:dyDescent="0.35">
      <c r="A11" t="s">
        <v>40</v>
      </c>
      <c r="B11">
        <v>4</v>
      </c>
      <c r="C11">
        <v>-50</v>
      </c>
    </row>
    <row r="12" spans="1:5" x14ac:dyDescent="0.35">
      <c r="A12" t="s">
        <v>40</v>
      </c>
      <c r="B12">
        <v>5</v>
      </c>
      <c r="C12">
        <v>-60</v>
      </c>
    </row>
    <row r="13" spans="1:5" x14ac:dyDescent="0.35">
      <c r="A13" t="s">
        <v>1</v>
      </c>
      <c r="B13">
        <v>0</v>
      </c>
      <c r="C13">
        <v>20</v>
      </c>
    </row>
    <row r="14" spans="1:5" x14ac:dyDescent="0.35">
      <c r="A14" t="s">
        <v>1</v>
      </c>
      <c r="B14">
        <v>1</v>
      </c>
      <c r="C14">
        <v>10</v>
      </c>
    </row>
    <row r="15" spans="1:5" x14ac:dyDescent="0.35">
      <c r="A15" t="s">
        <v>1</v>
      </c>
      <c r="B15">
        <v>2</v>
      </c>
      <c r="C15">
        <v>0</v>
      </c>
    </row>
    <row r="16" spans="1:5" x14ac:dyDescent="0.35">
      <c r="A16" t="s">
        <v>1</v>
      </c>
      <c r="B16">
        <v>3</v>
      </c>
      <c r="C16">
        <v>0</v>
      </c>
    </row>
    <row r="17" spans="1:3" x14ac:dyDescent="0.35">
      <c r="A17" t="s">
        <v>1</v>
      </c>
      <c r="B17">
        <v>4</v>
      </c>
      <c r="C17">
        <v>-10</v>
      </c>
    </row>
    <row r="18" spans="1:3" x14ac:dyDescent="0.35">
      <c r="A18" t="s">
        <v>1</v>
      </c>
      <c r="B18">
        <v>5</v>
      </c>
      <c r="C18">
        <v>-20</v>
      </c>
    </row>
    <row r="19" spans="1:3" x14ac:dyDescent="0.35">
      <c r="A19" t="s">
        <v>1</v>
      </c>
      <c r="B19">
        <v>5</v>
      </c>
      <c r="C19">
        <v>-20</v>
      </c>
    </row>
    <row r="20" spans="1:3" x14ac:dyDescent="0.35">
      <c r="A20" t="s">
        <v>41</v>
      </c>
      <c r="B20">
        <v>0</v>
      </c>
      <c r="C20">
        <v>10</v>
      </c>
    </row>
    <row r="21" spans="1:3" x14ac:dyDescent="0.35">
      <c r="A21" t="s">
        <v>41</v>
      </c>
      <c r="B21">
        <v>1</v>
      </c>
      <c r="C21">
        <v>-10</v>
      </c>
    </row>
    <row r="22" spans="1:3" x14ac:dyDescent="0.35">
      <c r="A22" t="s">
        <v>41</v>
      </c>
      <c r="B22">
        <v>2</v>
      </c>
      <c r="C22">
        <v>-20</v>
      </c>
    </row>
    <row r="23" spans="1:3" x14ac:dyDescent="0.35">
      <c r="A23" t="s">
        <v>41</v>
      </c>
      <c r="B23">
        <v>3</v>
      </c>
      <c r="C23">
        <v>-40</v>
      </c>
    </row>
    <row r="24" spans="1:3" x14ac:dyDescent="0.35">
      <c r="A24" t="s">
        <v>41</v>
      </c>
      <c r="B24">
        <v>4</v>
      </c>
      <c r="C24">
        <v>-80</v>
      </c>
    </row>
    <row r="25" spans="1:3" x14ac:dyDescent="0.35">
      <c r="A25" t="s">
        <v>41</v>
      </c>
      <c r="B25">
        <v>5</v>
      </c>
      <c r="C25">
        <v>-160</v>
      </c>
    </row>
    <row r="26" spans="1:3" x14ac:dyDescent="0.35">
      <c r="A26" t="s">
        <v>42</v>
      </c>
      <c r="B26">
        <v>1</v>
      </c>
      <c r="C26">
        <v>-1</v>
      </c>
    </row>
    <row r="27" spans="1:3" x14ac:dyDescent="0.35">
      <c r="A27" t="s">
        <v>42</v>
      </c>
      <c r="B27">
        <v>2</v>
      </c>
      <c r="C27">
        <f>+C26*2</f>
        <v>-2</v>
      </c>
    </row>
    <row r="28" spans="1:3" x14ac:dyDescent="0.35">
      <c r="A28" t="s">
        <v>42</v>
      </c>
      <c r="B28">
        <v>3</v>
      </c>
      <c r="C28">
        <f>+C27*2</f>
        <v>-4</v>
      </c>
    </row>
    <row r="29" spans="1:3" x14ac:dyDescent="0.35">
      <c r="A29" t="s">
        <v>42</v>
      </c>
      <c r="B29">
        <v>4</v>
      </c>
      <c r="C29">
        <f>+C28*2</f>
        <v>-8</v>
      </c>
    </row>
    <row r="30" spans="1:3" x14ac:dyDescent="0.35">
      <c r="A30" t="s">
        <v>43</v>
      </c>
      <c r="B30">
        <v>1</v>
      </c>
      <c r="C30">
        <v>-50</v>
      </c>
    </row>
    <row r="31" spans="1:3" x14ac:dyDescent="0.35">
      <c r="A31" t="s">
        <v>46</v>
      </c>
      <c r="B31">
        <v>1</v>
      </c>
      <c r="C31">
        <v>100</v>
      </c>
    </row>
    <row r="32" spans="1:3" x14ac:dyDescent="0.35">
      <c r="A32" t="s">
        <v>47</v>
      </c>
      <c r="B32">
        <v>0</v>
      </c>
      <c r="C32">
        <v>20</v>
      </c>
    </row>
    <row r="33" spans="1:3" x14ac:dyDescent="0.35">
      <c r="A33" t="s">
        <v>47</v>
      </c>
      <c r="B33">
        <v>1</v>
      </c>
      <c r="C33">
        <v>0</v>
      </c>
    </row>
    <row r="34" spans="1:3" x14ac:dyDescent="0.35">
      <c r="A34" t="s">
        <v>47</v>
      </c>
      <c r="B34">
        <v>2</v>
      </c>
      <c r="C34">
        <v>-20</v>
      </c>
    </row>
    <row r="35" spans="1:3" x14ac:dyDescent="0.35">
      <c r="A35" t="s">
        <v>47</v>
      </c>
      <c r="B35">
        <v>3</v>
      </c>
      <c r="C35">
        <v>-60</v>
      </c>
    </row>
    <row r="36" spans="1:3" x14ac:dyDescent="0.35">
      <c r="A36" t="s">
        <v>47</v>
      </c>
      <c r="B36">
        <v>4</v>
      </c>
      <c r="C36">
        <v>-100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A9DD-5344-4AFD-8E5D-E1460669ACF9}">
  <dimension ref="A1:C10"/>
  <sheetViews>
    <sheetView tabSelected="1" zoomScale="104" workbookViewId="0">
      <selection activeCell="C4" sqref="C4"/>
    </sheetView>
  </sheetViews>
  <sheetFormatPr defaultColWidth="8.81640625" defaultRowHeight="14.5" x14ac:dyDescent="0.35"/>
  <cols>
    <col min="1" max="1" width="10.36328125" bestFit="1" customWidth="1"/>
    <col min="2" max="2" width="10.81640625" bestFit="1" customWidth="1"/>
    <col min="3" max="3" width="7.1796875" customWidth="1"/>
  </cols>
  <sheetData>
    <row r="1" spans="1:3" x14ac:dyDescent="0.35">
      <c r="A1" s="1" t="s">
        <v>44</v>
      </c>
      <c r="B1" s="1" t="s">
        <v>45</v>
      </c>
      <c r="C1" s="1" t="s">
        <v>38</v>
      </c>
    </row>
    <row r="2" spans="1:3" x14ac:dyDescent="0.35">
      <c r="A2">
        <v>1</v>
      </c>
      <c r="B2">
        <v>3</v>
      </c>
      <c r="C2">
        <v>-10000</v>
      </c>
    </row>
    <row r="3" spans="1:3" x14ac:dyDescent="0.35">
      <c r="A3">
        <v>1</v>
      </c>
      <c r="B3">
        <v>2</v>
      </c>
      <c r="C3">
        <v>-10000</v>
      </c>
    </row>
    <row r="4" spans="1:3" x14ac:dyDescent="0.35">
      <c r="A4">
        <v>2</v>
      </c>
      <c r="B4">
        <v>3</v>
      </c>
      <c r="C4">
        <v>-200</v>
      </c>
    </row>
    <row r="5" spans="1:3" x14ac:dyDescent="0.35">
      <c r="A5">
        <v>2</v>
      </c>
      <c r="B5">
        <v>1</v>
      </c>
      <c r="C5">
        <v>-50</v>
      </c>
    </row>
    <row r="6" spans="1:3" x14ac:dyDescent="0.35">
      <c r="A6">
        <v>3</v>
      </c>
      <c r="B6">
        <v>3</v>
      </c>
      <c r="C6">
        <v>100</v>
      </c>
    </row>
    <row r="7" spans="1:3" x14ac:dyDescent="0.35">
      <c r="A7">
        <v>2</v>
      </c>
      <c r="B7">
        <v>2</v>
      </c>
      <c r="C7">
        <v>100</v>
      </c>
    </row>
    <row r="8" spans="1:3" x14ac:dyDescent="0.35">
      <c r="A8">
        <v>1</v>
      </c>
      <c r="B8">
        <v>1</v>
      </c>
      <c r="C8">
        <v>100</v>
      </c>
    </row>
    <row r="9" spans="1:3" x14ac:dyDescent="0.35">
      <c r="A9">
        <v>3</v>
      </c>
      <c r="B9">
        <v>2</v>
      </c>
      <c r="C9">
        <v>-200</v>
      </c>
    </row>
    <row r="10" spans="1:3" x14ac:dyDescent="0.35">
      <c r="A10">
        <v>3</v>
      </c>
      <c r="B10">
        <v>1</v>
      </c>
      <c r="C10">
        <v>-200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D287-5985-48C0-88D9-B8B2B82FB872}">
  <dimension ref="A1:G16"/>
  <sheetViews>
    <sheetView zoomScale="120" workbookViewId="0">
      <selection activeCell="D20" sqref="D20"/>
    </sheetView>
  </sheetViews>
  <sheetFormatPr defaultColWidth="8.81640625" defaultRowHeight="14.5" x14ac:dyDescent="0.35"/>
  <cols>
    <col min="1" max="1" width="11.81640625" customWidth="1"/>
    <col min="2" max="2" width="12.81640625" bestFit="1" customWidth="1"/>
    <col min="3" max="3" width="11.81640625" customWidth="1"/>
    <col min="4" max="4" width="12.1796875" bestFit="1" customWidth="1"/>
    <col min="5" max="6" width="8.453125" bestFit="1" customWidth="1"/>
    <col min="7" max="7" width="9.81640625" bestFit="1" customWidth="1"/>
  </cols>
  <sheetData>
    <row r="1" spans="1:7" x14ac:dyDescent="0.35">
      <c r="A1" s="1" t="s">
        <v>19</v>
      </c>
      <c r="B1" s="1" t="s">
        <v>31</v>
      </c>
      <c r="C1" s="1" t="s">
        <v>1</v>
      </c>
      <c r="D1" s="1" t="s">
        <v>26</v>
      </c>
      <c r="E1" s="1" t="s">
        <v>20</v>
      </c>
      <c r="F1" s="1" t="s">
        <v>21</v>
      </c>
      <c r="G1" s="1" t="s">
        <v>22</v>
      </c>
    </row>
    <row r="2" spans="1:7" x14ac:dyDescent="0.35">
      <c r="A2" t="s">
        <v>7</v>
      </c>
      <c r="B2" t="s">
        <v>32</v>
      </c>
      <c r="C2" t="s">
        <v>4</v>
      </c>
      <c r="D2">
        <v>80</v>
      </c>
      <c r="E2">
        <v>0</v>
      </c>
      <c r="F2">
        <v>0</v>
      </c>
      <c r="G2">
        <v>1</v>
      </c>
    </row>
    <row r="3" spans="1:7" x14ac:dyDescent="0.35">
      <c r="A3" t="s">
        <v>15</v>
      </c>
      <c r="B3" t="s">
        <v>33</v>
      </c>
      <c r="C3" t="s">
        <v>2</v>
      </c>
      <c r="D3">
        <v>70</v>
      </c>
      <c r="E3">
        <v>1</v>
      </c>
      <c r="F3">
        <v>2</v>
      </c>
      <c r="G3">
        <v>11</v>
      </c>
    </row>
    <row r="4" spans="1:7" x14ac:dyDescent="0.35">
      <c r="A4" t="s">
        <v>16</v>
      </c>
      <c r="B4" t="s">
        <v>33</v>
      </c>
      <c r="C4" t="s">
        <v>3</v>
      </c>
      <c r="D4">
        <v>80</v>
      </c>
      <c r="E4">
        <v>0</v>
      </c>
      <c r="F4">
        <v>1</v>
      </c>
      <c r="G4">
        <v>2</v>
      </c>
    </row>
    <row r="5" spans="1:7" x14ac:dyDescent="0.35">
      <c r="A5" t="s">
        <v>8</v>
      </c>
      <c r="B5" t="s">
        <v>35</v>
      </c>
      <c r="C5" t="s">
        <v>2</v>
      </c>
      <c r="D5">
        <v>50</v>
      </c>
      <c r="E5">
        <v>1</v>
      </c>
      <c r="F5">
        <v>3</v>
      </c>
      <c r="G5">
        <v>11</v>
      </c>
    </row>
    <row r="6" spans="1:7" x14ac:dyDescent="0.35">
      <c r="A6" t="s">
        <v>2</v>
      </c>
      <c r="B6" t="s">
        <v>35</v>
      </c>
      <c r="C6" t="s">
        <v>2</v>
      </c>
      <c r="D6">
        <v>70</v>
      </c>
      <c r="E6">
        <v>1</v>
      </c>
      <c r="F6">
        <v>4</v>
      </c>
      <c r="G6">
        <v>11</v>
      </c>
    </row>
    <row r="7" spans="1:7" x14ac:dyDescent="0.35">
      <c r="A7" t="s">
        <v>9</v>
      </c>
      <c r="B7" t="s">
        <v>32</v>
      </c>
      <c r="C7" t="s">
        <v>3</v>
      </c>
      <c r="D7">
        <v>100</v>
      </c>
      <c r="E7">
        <v>0</v>
      </c>
      <c r="F7">
        <v>0</v>
      </c>
      <c r="G7">
        <v>1</v>
      </c>
    </row>
    <row r="8" spans="1:7" x14ac:dyDescent="0.35">
      <c r="A8" t="s">
        <v>13</v>
      </c>
      <c r="B8" t="s">
        <v>34</v>
      </c>
      <c r="C8" t="s">
        <v>5</v>
      </c>
      <c r="D8">
        <v>70</v>
      </c>
      <c r="E8">
        <v>1</v>
      </c>
      <c r="F8">
        <v>2</v>
      </c>
      <c r="G8">
        <v>5</v>
      </c>
    </row>
    <row r="9" spans="1:7" x14ac:dyDescent="0.35">
      <c r="A9" t="s">
        <v>11</v>
      </c>
      <c r="B9" t="s">
        <v>32</v>
      </c>
      <c r="C9" t="s">
        <v>6</v>
      </c>
      <c r="D9">
        <v>90</v>
      </c>
      <c r="E9">
        <v>0</v>
      </c>
      <c r="F9">
        <v>0</v>
      </c>
      <c r="G9">
        <v>1</v>
      </c>
    </row>
    <row r="10" spans="1:7" x14ac:dyDescent="0.35">
      <c r="A10" t="s">
        <v>12</v>
      </c>
      <c r="B10" t="s">
        <v>34</v>
      </c>
      <c r="C10" t="s">
        <v>2</v>
      </c>
      <c r="D10">
        <v>50</v>
      </c>
      <c r="E10">
        <v>1</v>
      </c>
      <c r="F10">
        <v>6</v>
      </c>
      <c r="G10">
        <v>11</v>
      </c>
    </row>
    <row r="11" spans="1:7" x14ac:dyDescent="0.35">
      <c r="A11" t="s">
        <v>14</v>
      </c>
      <c r="B11" t="s">
        <v>14</v>
      </c>
      <c r="C11" t="s">
        <v>14</v>
      </c>
      <c r="D11">
        <v>80</v>
      </c>
      <c r="E11">
        <v>0</v>
      </c>
      <c r="F11">
        <v>0</v>
      </c>
      <c r="G11">
        <v>0</v>
      </c>
    </row>
    <row r="12" spans="1:7" x14ac:dyDescent="0.35">
      <c r="A12" t="s">
        <v>5</v>
      </c>
      <c r="B12" t="s">
        <v>35</v>
      </c>
      <c r="C12" t="s">
        <v>5</v>
      </c>
      <c r="D12">
        <v>80</v>
      </c>
      <c r="E12">
        <v>1</v>
      </c>
      <c r="F12">
        <v>1</v>
      </c>
      <c r="G12">
        <v>3</v>
      </c>
    </row>
    <row r="13" spans="1:7" x14ac:dyDescent="0.35">
      <c r="A13" t="s">
        <v>3</v>
      </c>
      <c r="B13" t="s">
        <v>35</v>
      </c>
      <c r="C13" t="s">
        <v>3</v>
      </c>
      <c r="D13">
        <v>40</v>
      </c>
      <c r="E13">
        <v>0</v>
      </c>
      <c r="F13">
        <v>1</v>
      </c>
      <c r="G13">
        <v>2</v>
      </c>
    </row>
    <row r="14" spans="1:7" x14ac:dyDescent="0.35">
      <c r="A14" t="s">
        <v>17</v>
      </c>
      <c r="B14" t="s">
        <v>34</v>
      </c>
      <c r="C14" t="s">
        <v>6</v>
      </c>
      <c r="D14">
        <v>60</v>
      </c>
      <c r="E14">
        <v>1</v>
      </c>
      <c r="F14">
        <v>1</v>
      </c>
      <c r="G14">
        <v>4</v>
      </c>
    </row>
    <row r="15" spans="1:7" x14ac:dyDescent="0.35">
      <c r="A15" t="s">
        <v>6</v>
      </c>
      <c r="B15" t="s">
        <v>35</v>
      </c>
      <c r="C15" t="s">
        <v>6</v>
      </c>
      <c r="D15">
        <v>80</v>
      </c>
      <c r="E15">
        <v>1</v>
      </c>
      <c r="F15">
        <v>0</v>
      </c>
      <c r="G15">
        <v>3</v>
      </c>
    </row>
    <row r="16" spans="1:7" x14ac:dyDescent="0.35">
      <c r="A16" t="s">
        <v>18</v>
      </c>
      <c r="B16" t="s">
        <v>32</v>
      </c>
      <c r="C16" t="s">
        <v>18</v>
      </c>
      <c r="D16">
        <v>60</v>
      </c>
      <c r="E16">
        <v>0</v>
      </c>
      <c r="F16">
        <v>0</v>
      </c>
      <c r="G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Events</vt:lpstr>
      <vt:lpstr>Employees</vt:lpstr>
      <vt:lpstr>DaysOff</vt:lpstr>
      <vt:lpstr>EventReq</vt:lpstr>
      <vt:lpstr>ScoreKeys</vt:lpstr>
      <vt:lpstr>SkillsetScores</vt:lpstr>
      <vt:lpstr>EventTypes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Katrín Sigurðardóttir</dc:creator>
  <cp:lastModifiedBy>Silja Guðmundsdóttir</cp:lastModifiedBy>
  <dcterms:created xsi:type="dcterms:W3CDTF">2026-02-08T13:27:47Z</dcterms:created>
  <dcterms:modified xsi:type="dcterms:W3CDTF">2026-05-04T13:25:12Z</dcterms:modified>
</cp:coreProperties>
</file>