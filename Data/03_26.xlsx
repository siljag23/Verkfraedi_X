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1241685D-86BE-A94A-A986-ED8F50A0DC19}" xr6:coauthVersionLast="47" xr6:coauthVersionMax="47" xr10:uidLastSave="{00000000-0000-0000-0000-000000000000}"/>
  <bookViews>
    <workbookView xWindow="900" yWindow="760" windowWidth="27980" windowHeight="16860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sharedStrings.xml><?xml version="1.0" encoding="utf-8"?>
<sst xmlns="http://schemas.openxmlformats.org/spreadsheetml/2006/main" count="275" uniqueCount="151">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</sst>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zoomScaleNormal="100" workbookViewId="0">
      <selection activeCell="O10" sqref="O10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69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2">
      <c r="A2">
        <v>1</v>
      </c>
      <c r="B2" t="s">
        <v>125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2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2">
      <c r="A4">
        <v>3</v>
      </c>
      <c r="B4" t="s">
        <v>126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2">
      <c r="A5">
        <v>4</v>
      </c>
      <c r="B5" t="s">
        <v>127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0.89583333333333337</v>
      </c>
    </row>
    <row r="6" spans="1:12" x14ac:dyDescent="0.2">
      <c r="A6">
        <v>5</v>
      </c>
      <c r="B6" t="s">
        <v>128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2">
      <c r="A7">
        <v>6</v>
      </c>
      <c r="B7" t="s">
        <v>129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2">
      <c r="A8">
        <v>7</v>
      </c>
      <c r="B8" t="s">
        <v>129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100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2">
      <c r="A9">
        <v>8</v>
      </c>
      <c r="B9" t="s">
        <v>130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2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2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2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2">
      <c r="A13">
        <v>12</v>
      </c>
      <c r="B13" t="s">
        <v>131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2">
      <c r="A14">
        <v>13</v>
      </c>
      <c r="B14" t="s">
        <v>132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2">
      <c r="A15">
        <v>14</v>
      </c>
      <c r="B15" t="s">
        <v>133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2">
      <c r="A16">
        <v>15</v>
      </c>
      <c r="B16" t="s">
        <v>133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2">
      <c r="A17">
        <v>16</v>
      </c>
      <c r="B17" t="s">
        <v>134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2">
      <c r="A18">
        <v>17</v>
      </c>
      <c r="B18" t="s">
        <v>134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2">
      <c r="A19">
        <v>18</v>
      </c>
      <c r="B19" t="s">
        <v>134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0.89583333333333337</v>
      </c>
    </row>
    <row r="20" spans="1:12" x14ac:dyDescent="0.2">
      <c r="A20">
        <v>19</v>
      </c>
      <c r="B20" t="s">
        <v>134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0.89583333333333337</v>
      </c>
    </row>
    <row r="21" spans="1:12" x14ac:dyDescent="0.2">
      <c r="A21">
        <v>20</v>
      </c>
      <c r="B21" t="s">
        <v>134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2">
      <c r="A22">
        <v>21</v>
      </c>
      <c r="B22" t="s">
        <v>135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2">
      <c r="A23">
        <v>22</v>
      </c>
      <c r="B23" t="s">
        <v>136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2">
      <c r="A24">
        <v>23</v>
      </c>
      <c r="B24" t="s">
        <v>123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2">
      <c r="A25">
        <v>24</v>
      </c>
      <c r="B25" t="s">
        <v>124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46095</v>
      </c>
      <c r="K25" s="5">
        <v>0.75</v>
      </c>
      <c r="L25" s="5">
        <v>0.91666666666666663</v>
      </c>
    </row>
    <row r="26" spans="1:12" x14ac:dyDescent="0.2">
      <c r="A26">
        <v>25</v>
      </c>
      <c r="B26" t="s">
        <v>124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46102</v>
      </c>
      <c r="K26" s="5">
        <v>0.75</v>
      </c>
      <c r="L26" s="5">
        <v>0.91666666666666663</v>
      </c>
    </row>
    <row r="27" spans="1:12" x14ac:dyDescent="0.2">
      <c r="A27">
        <v>26</v>
      </c>
      <c r="B27" t="s">
        <v>124</v>
      </c>
      <c r="C27" t="s">
        <v>9</v>
      </c>
      <c r="D27" t="str">
        <f>_xlfn.XLOOKUP(C27,EventTypes!A:A,EventTypes!B:B,"")</f>
        <v>Solo</v>
      </c>
      <c r="E27">
        <f>_xlfn.XLOOKUP(C27,EventTypes!A:A,EventTypes!D:D,"")</f>
        <v>100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0</v>
      </c>
      <c r="I27">
        <v>1</v>
      </c>
      <c r="J27" s="4">
        <v>46109</v>
      </c>
      <c r="K27" s="5">
        <v>0.75</v>
      </c>
      <c r="L27" s="5">
        <v>0.91666666666666663</v>
      </c>
    </row>
    <row r="28" spans="1:12" x14ac:dyDescent="0.2">
      <c r="A28">
        <v>27</v>
      </c>
      <c r="B28" t="s">
        <v>137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1</v>
      </c>
      <c r="I28">
        <v>2</v>
      </c>
      <c r="J28" s="4">
        <v>46088</v>
      </c>
      <c r="K28" s="5">
        <v>0.5</v>
      </c>
      <c r="L28" s="5">
        <v>0.66666666666666663</v>
      </c>
    </row>
    <row r="29" spans="1:12" x14ac:dyDescent="0.2">
      <c r="A29">
        <v>28</v>
      </c>
      <c r="B29" t="s">
        <v>137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v>0</v>
      </c>
      <c r="H29">
        <f>_xlfn.XLOOKUP(C29,EventTypes!A:A,EventTypes!F:F,"")</f>
        <v>1</v>
      </c>
      <c r="I29">
        <v>2</v>
      </c>
      <c r="J29" s="4">
        <v>46102</v>
      </c>
      <c r="K29" s="5">
        <v>0.5</v>
      </c>
      <c r="L29" s="5">
        <v>0.66666666666666663</v>
      </c>
    </row>
    <row r="30" spans="1:12" ht="18" customHeight="1" x14ac:dyDescent="0.2">
      <c r="A30">
        <v>29</v>
      </c>
      <c r="B30" t="s">
        <v>137</v>
      </c>
      <c r="C30" t="s">
        <v>16</v>
      </c>
      <c r="D30" t="str">
        <f>_xlfn.XLOOKUP(C30,EventTypes!A:A,EventTypes!B:B,"")</f>
        <v>Barna</v>
      </c>
      <c r="E30">
        <f>_xlfn.XLOOKUP(C30,EventTypes!A:A,EventTypes!D:D,"")</f>
        <v>80</v>
      </c>
      <c r="F30" t="str">
        <f>_xlfn.XLOOKUP(C30,EventTypes!A:A,EventTypes!C:C,"")</f>
        <v>KL</v>
      </c>
      <c r="G30">
        <f>_xlfn.XLOOKUP(C30,EventTypes!A:A,EventTypes!E:E,"")</f>
        <v>0</v>
      </c>
      <c r="H30">
        <f>_xlfn.XLOOKUP(C30,EventTypes!A:A,EventTypes!F:F,"")</f>
        <v>1</v>
      </c>
      <c r="I30">
        <v>2</v>
      </c>
      <c r="J30" s="4">
        <v>46109</v>
      </c>
      <c r="K30" s="5">
        <v>0.5</v>
      </c>
      <c r="L30" s="5">
        <v>0.66666666666666663</v>
      </c>
    </row>
    <row r="31" spans="1:12" ht="16" customHeight="1" x14ac:dyDescent="0.2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90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46085</v>
      </c>
      <c r="K31" s="5">
        <v>0.79166666666666663</v>
      </c>
      <c r="L31" s="5">
        <v>0.91666666666666663</v>
      </c>
    </row>
    <row r="32" spans="1:12" ht="16" customHeight="1" x14ac:dyDescent="0.2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90</v>
      </c>
      <c r="F32" t="str">
        <f>_xlfn.XLOOKUP(C32,EventTypes!A:A,EventTypes!C:C,"")</f>
        <v>BL</v>
      </c>
      <c r="G32">
        <f>_xlfn.XLOOKUP(C32,EventTypes!A:A,EventTypes!E:E,"")</f>
        <v>0</v>
      </c>
      <c r="H32">
        <f>_xlfn.XLOOKUP(C32,EventTypes!A:A,EventTypes!F:F,"")</f>
        <v>0</v>
      </c>
      <c r="I32">
        <v>1</v>
      </c>
      <c r="J32" s="4">
        <v>46092</v>
      </c>
      <c r="K32" s="5">
        <v>0.79166666666666663</v>
      </c>
      <c r="L32" s="5">
        <v>0.91666666666666663</v>
      </c>
    </row>
    <row r="33" spans="1:12" ht="16" customHeight="1" x14ac:dyDescent="0.2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90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46099</v>
      </c>
      <c r="K33" s="5">
        <v>0.79166666666666663</v>
      </c>
      <c r="L33" s="5">
        <v>0.91666666666666663</v>
      </c>
    </row>
    <row r="34" spans="1:12" x14ac:dyDescent="0.2">
      <c r="A34">
        <v>33</v>
      </c>
      <c r="B34" t="s">
        <v>7</v>
      </c>
      <c r="C34" t="s">
        <v>7</v>
      </c>
      <c r="D34" t="str">
        <f>_xlfn.XLOOKUP(C34,EventTypes!A:A,EventTypes!B:B,"")</f>
        <v>Solo</v>
      </c>
      <c r="E34">
        <f>_xlfn.XLOOKUP(C34,EventTypes!A:A,EventTypes!D:D,"")</f>
        <v>90</v>
      </c>
      <c r="F34" t="str">
        <f>_xlfn.XLOOKUP(C34,EventTypes!A:A,EventTypes!C:C,"")</f>
        <v>BL</v>
      </c>
      <c r="G34">
        <v>0</v>
      </c>
      <c r="H34">
        <f>_xlfn.XLOOKUP(C34,EventTypes!A:A,EventTypes!F:F,"")</f>
        <v>0</v>
      </c>
      <c r="I34">
        <v>1</v>
      </c>
      <c r="J34" s="4">
        <v>46106</v>
      </c>
      <c r="K34" s="5">
        <v>0.79166666666666663</v>
      </c>
      <c r="L34" s="5">
        <v>0.91666666666666663</v>
      </c>
    </row>
    <row r="35" spans="1:12" x14ac:dyDescent="0.2">
      <c r="A35">
        <v>34</v>
      </c>
      <c r="B35" t="s">
        <v>138</v>
      </c>
      <c r="C35" t="s">
        <v>3</v>
      </c>
      <c r="D35" t="str">
        <f>_xlfn.XLOOKUP(C35,EventTypes!A:A,EventTypes!B:B,"")</f>
        <v>Basic</v>
      </c>
      <c r="E35">
        <f>_xlfn.XLOOKUP(C35,EventTypes!A:A,EventTypes!D:D,"")</f>
        <v>40</v>
      </c>
      <c r="F35" t="str">
        <f>_xlfn.XLOOKUP(C35,EventTypes!A:A,EventTypes!C:C,"")</f>
        <v>KL</v>
      </c>
      <c r="G35">
        <v>0</v>
      </c>
      <c r="H35">
        <f>_xlfn.XLOOKUP(C35,EventTypes!A:A,EventTypes!F:F,"")</f>
        <v>1</v>
      </c>
      <c r="I35">
        <v>1</v>
      </c>
      <c r="J35" s="4">
        <v>46091</v>
      </c>
      <c r="K35" s="5">
        <v>0.79166666666666663</v>
      </c>
      <c r="L35" s="5">
        <v>0.91666666666666663</v>
      </c>
    </row>
    <row r="36" spans="1:12" x14ac:dyDescent="0.2">
      <c r="A36">
        <v>35</v>
      </c>
      <c r="B36" t="s">
        <v>139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2</v>
      </c>
      <c r="J36" s="4">
        <v>46098</v>
      </c>
      <c r="K36" s="5">
        <v>0.79166666666666663</v>
      </c>
      <c r="L36" s="5">
        <v>0.91666666666666663</v>
      </c>
    </row>
    <row r="37" spans="1:12" x14ac:dyDescent="0.2">
      <c r="A37">
        <v>36</v>
      </c>
      <c r="B37" t="s">
        <v>140</v>
      </c>
      <c r="C37" t="s">
        <v>6</v>
      </c>
      <c r="D37" t="str">
        <f>_xlfn.XLOOKUP(C37,EventTypes!A:A,EventTypes!B:B,"")</f>
        <v>Basic</v>
      </c>
      <c r="E37">
        <f>_xlfn.XLOOKUP(C37,EventTypes!A:A,EventTypes!D:D,"")</f>
        <v>80</v>
      </c>
      <c r="F37" t="str">
        <f>_xlfn.XLOOKUP(C37,EventTypes!A:A,EventTypes!C:C,"")</f>
        <v>NL</v>
      </c>
      <c r="G37">
        <v>0</v>
      </c>
      <c r="H37">
        <f>_xlfn.XLOOKUP(C37,EventTypes!A:A,EventTypes!F:F,"")</f>
        <v>0</v>
      </c>
      <c r="I37">
        <v>1</v>
      </c>
      <c r="J37" s="4">
        <v>46097</v>
      </c>
      <c r="K37" s="5">
        <v>0.79166666666666663</v>
      </c>
      <c r="L37" s="5">
        <v>0.91666666666666663</v>
      </c>
    </row>
    <row r="38" spans="1:12" x14ac:dyDescent="0.2">
      <c r="A38">
        <v>37</v>
      </c>
      <c r="B38" t="s">
        <v>66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46103</v>
      </c>
      <c r="K38" s="5">
        <v>0.5</v>
      </c>
      <c r="L38" s="5">
        <v>0.66666666666666663</v>
      </c>
    </row>
    <row r="39" spans="1:12" x14ac:dyDescent="0.2">
      <c r="A39">
        <v>38</v>
      </c>
      <c r="B39" t="s">
        <v>141</v>
      </c>
      <c r="C39" t="s">
        <v>5</v>
      </c>
      <c r="D39" t="str">
        <f>_xlfn.XLOOKUP(C39,EventTypes!A:A,EventTypes!B:B,"")</f>
        <v>Basic</v>
      </c>
      <c r="E39">
        <f>_xlfn.XLOOKUP(C39,EventTypes!A:A,EventTypes!D:D,"")</f>
        <v>80</v>
      </c>
      <c r="F39" t="str">
        <f>_xlfn.XLOOKUP(C39,EventTypes!A:A,EventTypes!C:C,"")</f>
        <v>SB</v>
      </c>
      <c r="G39">
        <v>0</v>
      </c>
      <c r="H39">
        <f>_xlfn.XLOOKUP(C39,EventTypes!A:A,EventTypes!F:F,"")</f>
        <v>1</v>
      </c>
      <c r="I39">
        <v>1</v>
      </c>
      <c r="J39" s="4">
        <v>46107</v>
      </c>
      <c r="K39" s="5">
        <v>0.70833333333333337</v>
      </c>
      <c r="L39" s="5">
        <v>0.83333333333333337</v>
      </c>
    </row>
    <row r="40" spans="1:12" x14ac:dyDescent="0.2">
      <c r="A40">
        <v>39</v>
      </c>
      <c r="B40" t="s">
        <v>11</v>
      </c>
      <c r="C40" t="s">
        <v>11</v>
      </c>
      <c r="D40" t="str">
        <f>_xlfn.XLOOKUP(C40,EventTypes!A:A,EventTypes!B:B,"")</f>
        <v>Solo</v>
      </c>
      <c r="E40">
        <f>_xlfn.XLOOKUP(C40,EventTypes!A:A,EventTypes!D:D,"")</f>
        <v>80</v>
      </c>
      <c r="F40" t="str">
        <f>_xlfn.XLOOKUP(C40,EventTypes!A:A,EventTypes!C:C,"")</f>
        <v>NL</v>
      </c>
      <c r="G40">
        <f>_xlfn.XLOOKUP(C40,EventTypes!A:A,EventTypes!E:E,"")</f>
        <v>0</v>
      </c>
      <c r="H40">
        <f>_xlfn.XLOOKUP(C40,EventTypes!A:A,EventTypes!F:F,"")</f>
        <v>0</v>
      </c>
      <c r="I40">
        <v>2</v>
      </c>
      <c r="J40" s="4">
        <v>46096</v>
      </c>
      <c r="K40" s="5">
        <v>0.625</v>
      </c>
      <c r="L40" s="5">
        <v>0.79166666666666663</v>
      </c>
    </row>
    <row r="41" spans="1:12" x14ac:dyDescent="0.2">
      <c r="A41">
        <v>40</v>
      </c>
      <c r="B41" t="s">
        <v>142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46087</v>
      </c>
      <c r="K41" s="5">
        <v>0.79166666666666663</v>
      </c>
      <c r="L41" s="5">
        <v>0.91666666666666663</v>
      </c>
    </row>
    <row r="42" spans="1:12" x14ac:dyDescent="0.2">
      <c r="A42">
        <v>41</v>
      </c>
      <c r="B42" t="s">
        <v>143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2</v>
      </c>
      <c r="J42" s="4">
        <v>46092</v>
      </c>
      <c r="K42" s="5">
        <v>0.79166666666666663</v>
      </c>
      <c r="L42" s="5">
        <v>0.91666666666666663</v>
      </c>
    </row>
    <row r="43" spans="1:12" x14ac:dyDescent="0.2">
      <c r="A43">
        <v>42</v>
      </c>
      <c r="B43" t="s">
        <v>122</v>
      </c>
      <c r="C43" t="s">
        <v>6</v>
      </c>
      <c r="D43" t="str">
        <f>_xlfn.XLOOKUP(C43,EventTypes!A:A,EventTypes!B:B,"")</f>
        <v>Basic</v>
      </c>
      <c r="E43">
        <f>_xlfn.XLOOKUP(C43,EventTypes!A:A,EventTypes!D:D,"")</f>
        <v>80</v>
      </c>
      <c r="F43" t="str">
        <f>_xlfn.XLOOKUP(C43,EventTypes!A:A,EventTypes!C:C,"")</f>
        <v>NL</v>
      </c>
      <c r="G43">
        <v>0</v>
      </c>
      <c r="H43">
        <f>_xlfn.XLOOKUP(C43,EventTypes!A:A,EventTypes!F:F,"")</f>
        <v>0</v>
      </c>
      <c r="I43">
        <v>1</v>
      </c>
      <c r="J43" s="4">
        <v>46112</v>
      </c>
      <c r="K43" s="5">
        <v>0.75</v>
      </c>
      <c r="L43" s="5">
        <v>0.875</v>
      </c>
    </row>
    <row r="44" spans="1:12" x14ac:dyDescent="0.2">
      <c r="J44" s="4"/>
      <c r="K44" s="5"/>
      <c r="L44" s="5"/>
    </row>
    <row r="45" spans="1:12" x14ac:dyDescent="0.2">
      <c r="J45" s="4"/>
      <c r="K45" s="5"/>
      <c r="L45" s="5"/>
    </row>
    <row r="46" spans="1:12" x14ac:dyDescent="0.2">
      <c r="J46" s="4"/>
      <c r="K46" s="5"/>
      <c r="L46" s="5"/>
    </row>
    <row r="47" spans="1:12" x14ac:dyDescent="0.2">
      <c r="J47" s="4"/>
      <c r="K47" s="5"/>
      <c r="L47" s="5"/>
    </row>
    <row r="48" spans="1:12" x14ac:dyDescent="0.2">
      <c r="J48" s="4"/>
      <c r="K48" s="5"/>
      <c r="L48" s="5"/>
    </row>
    <row r="49" spans="10:12" x14ac:dyDescent="0.2">
      <c r="J49" s="4"/>
      <c r="K49" s="5"/>
      <c r="L49" s="5"/>
    </row>
    <row r="50" spans="10:12" x14ac:dyDescent="0.2">
      <c r="J50" s="4"/>
      <c r="K50" s="5"/>
      <c r="L50" s="5"/>
    </row>
    <row r="51" spans="10:12" x14ac:dyDescent="0.2">
      <c r="J51" s="4"/>
      <c r="K51" s="5"/>
      <c r="L51" s="5"/>
    </row>
    <row r="52" spans="10:12" x14ac:dyDescent="0.2">
      <c r="J52" s="4"/>
      <c r="K52" s="5"/>
      <c r="L52" s="5"/>
    </row>
    <row r="53" spans="10:12" x14ac:dyDescent="0.2">
      <c r="J53" s="4"/>
      <c r="K53" s="5"/>
      <c r="L53" s="5"/>
    </row>
    <row r="54" spans="10:12" x14ac:dyDescent="0.2">
      <c r="J54" s="4"/>
      <c r="K54" s="5"/>
      <c r="L54" s="5"/>
    </row>
    <row r="55" spans="10:12" x14ac:dyDescent="0.2">
      <c r="J55" s="4"/>
      <c r="K55" s="5"/>
      <c r="L55" s="5"/>
    </row>
    <row r="56" spans="10:12" x14ac:dyDescent="0.2">
      <c r="J56" s="4"/>
      <c r="K56" s="5"/>
      <c r="L56" s="5"/>
    </row>
    <row r="57" spans="10:12" x14ac:dyDescent="0.2">
      <c r="J57" s="4"/>
      <c r="K57" s="5"/>
      <c r="L57" s="5"/>
    </row>
    <row r="58" spans="10:12" x14ac:dyDescent="0.2">
      <c r="J58" s="4"/>
      <c r="K58" s="5"/>
      <c r="L58" s="5"/>
    </row>
    <row r="59" spans="10:12" x14ac:dyDescent="0.2">
      <c r="J59" s="4"/>
      <c r="K59" s="5"/>
      <c r="L59" s="5"/>
    </row>
    <row r="60" spans="10:12" x14ac:dyDescent="0.2">
      <c r="J60" s="4"/>
      <c r="K60" s="5"/>
      <c r="L60" s="5"/>
    </row>
    <row r="61" spans="10:12" x14ac:dyDescent="0.2">
      <c r="J61" s="4"/>
      <c r="K61" s="5"/>
      <c r="L61" s="5"/>
    </row>
    <row r="62" spans="10:12" x14ac:dyDescent="0.2">
      <c r="J62" s="4"/>
      <c r="K62" s="5"/>
      <c r="L62" s="5"/>
    </row>
    <row r="63" spans="10:12" x14ac:dyDescent="0.2">
      <c r="J63" s="4"/>
      <c r="K63" s="5"/>
      <c r="L63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67</v>
      </c>
      <c r="B1" s="1" t="s">
        <v>68</v>
      </c>
      <c r="C1" s="1" t="s">
        <v>60</v>
      </c>
    </row>
    <row r="2" spans="1:3" x14ac:dyDescent="0.2">
      <c r="A2">
        <v>1</v>
      </c>
      <c r="B2" t="s">
        <v>144</v>
      </c>
      <c r="C2">
        <v>2</v>
      </c>
    </row>
    <row r="3" spans="1:3" x14ac:dyDescent="0.2">
      <c r="A3">
        <v>2</v>
      </c>
      <c r="B3" t="s">
        <v>88</v>
      </c>
      <c r="C3">
        <v>2</v>
      </c>
    </row>
    <row r="4" spans="1:3" x14ac:dyDescent="0.2">
      <c r="A4">
        <v>3</v>
      </c>
      <c r="B4" t="s">
        <v>89</v>
      </c>
      <c r="C4">
        <v>2</v>
      </c>
    </row>
    <row r="5" spans="1:3" x14ac:dyDescent="0.2">
      <c r="A5">
        <v>4</v>
      </c>
      <c r="B5" t="s">
        <v>90</v>
      </c>
      <c r="C5">
        <v>2</v>
      </c>
    </row>
    <row r="6" spans="1:3" x14ac:dyDescent="0.2">
      <c r="A6">
        <v>5</v>
      </c>
      <c r="B6" t="s">
        <v>91</v>
      </c>
      <c r="C6">
        <v>2</v>
      </c>
    </row>
    <row r="7" spans="1:3" x14ac:dyDescent="0.2">
      <c r="A7">
        <v>6</v>
      </c>
      <c r="B7" t="s">
        <v>145</v>
      </c>
      <c r="C7">
        <v>2</v>
      </c>
    </row>
    <row r="8" spans="1:3" x14ac:dyDescent="0.2">
      <c r="A8">
        <v>7</v>
      </c>
      <c r="B8" t="s">
        <v>146</v>
      </c>
      <c r="C8">
        <v>2</v>
      </c>
    </row>
    <row r="9" spans="1:3" x14ac:dyDescent="0.2">
      <c r="A9">
        <v>8</v>
      </c>
      <c r="B9" t="s">
        <v>92</v>
      </c>
      <c r="C9">
        <v>2</v>
      </c>
    </row>
    <row r="10" spans="1:3" x14ac:dyDescent="0.2">
      <c r="A10">
        <v>9</v>
      </c>
      <c r="B10" t="s">
        <v>93</v>
      </c>
      <c r="C10">
        <v>2</v>
      </c>
    </row>
    <row r="11" spans="1:3" x14ac:dyDescent="0.2">
      <c r="A11">
        <v>10</v>
      </c>
      <c r="B11" t="s">
        <v>94</v>
      </c>
      <c r="C11">
        <v>2</v>
      </c>
    </row>
    <row r="12" spans="1:3" x14ac:dyDescent="0.2">
      <c r="A12">
        <v>11</v>
      </c>
      <c r="B12" t="s">
        <v>95</v>
      </c>
      <c r="C12">
        <v>2</v>
      </c>
    </row>
    <row r="13" spans="1:3" x14ac:dyDescent="0.2">
      <c r="A13">
        <v>12</v>
      </c>
      <c r="B13" t="s">
        <v>96</v>
      </c>
      <c r="C13">
        <v>2</v>
      </c>
    </row>
    <row r="14" spans="1:3" x14ac:dyDescent="0.2">
      <c r="A14">
        <v>13</v>
      </c>
      <c r="B14" t="s">
        <v>97</v>
      </c>
      <c r="C14">
        <v>2</v>
      </c>
    </row>
    <row r="15" spans="1:3" x14ac:dyDescent="0.2">
      <c r="A15">
        <v>14</v>
      </c>
      <c r="B15" t="s">
        <v>98</v>
      </c>
      <c r="C15">
        <v>2</v>
      </c>
    </row>
    <row r="16" spans="1:3" x14ac:dyDescent="0.2">
      <c r="A16">
        <v>15</v>
      </c>
      <c r="B16" t="s">
        <v>99</v>
      </c>
      <c r="C16">
        <v>2</v>
      </c>
    </row>
    <row r="17" spans="1:3" x14ac:dyDescent="0.2">
      <c r="A17">
        <v>16</v>
      </c>
      <c r="B17" t="s">
        <v>100</v>
      </c>
      <c r="C17">
        <v>2</v>
      </c>
    </row>
    <row r="18" spans="1:3" x14ac:dyDescent="0.2">
      <c r="A18">
        <v>17</v>
      </c>
      <c r="B18" t="s">
        <v>101</v>
      </c>
      <c r="C18">
        <v>2</v>
      </c>
    </row>
    <row r="19" spans="1:3" x14ac:dyDescent="0.2">
      <c r="A19">
        <v>18</v>
      </c>
      <c r="B19" t="s">
        <v>102</v>
      </c>
      <c r="C19">
        <v>2</v>
      </c>
    </row>
    <row r="20" spans="1:3" x14ac:dyDescent="0.2">
      <c r="A20">
        <v>19</v>
      </c>
      <c r="B20" t="s">
        <v>103</v>
      </c>
      <c r="C20">
        <v>2</v>
      </c>
    </row>
    <row r="21" spans="1:3" x14ac:dyDescent="0.2">
      <c r="A21">
        <v>20</v>
      </c>
      <c r="B21" t="s">
        <v>104</v>
      </c>
      <c r="C21">
        <v>2</v>
      </c>
    </row>
    <row r="22" spans="1:3" x14ac:dyDescent="0.2">
      <c r="A22">
        <v>21</v>
      </c>
      <c r="B22" t="s">
        <v>147</v>
      </c>
      <c r="C22">
        <v>2</v>
      </c>
    </row>
    <row r="23" spans="1:3" x14ac:dyDescent="0.2">
      <c r="A23">
        <v>22</v>
      </c>
      <c r="B23" t="s">
        <v>105</v>
      </c>
      <c r="C23">
        <v>2</v>
      </c>
    </row>
    <row r="24" spans="1:3" x14ac:dyDescent="0.2">
      <c r="A24">
        <v>23</v>
      </c>
      <c r="B24" t="s">
        <v>148</v>
      </c>
      <c r="C24">
        <v>2</v>
      </c>
    </row>
    <row r="25" spans="1:3" x14ac:dyDescent="0.2">
      <c r="A25">
        <v>24</v>
      </c>
      <c r="B25" t="s">
        <v>106</v>
      </c>
      <c r="C25">
        <v>2</v>
      </c>
    </row>
    <row r="26" spans="1:3" x14ac:dyDescent="0.2">
      <c r="A26">
        <v>25</v>
      </c>
      <c r="B26" t="s">
        <v>149</v>
      </c>
      <c r="C26">
        <v>2</v>
      </c>
    </row>
    <row r="27" spans="1:3" x14ac:dyDescent="0.2">
      <c r="A27">
        <v>26</v>
      </c>
      <c r="B27" t="s">
        <v>107</v>
      </c>
      <c r="C27">
        <v>2</v>
      </c>
    </row>
    <row r="28" spans="1:3" x14ac:dyDescent="0.2">
      <c r="A28">
        <v>27</v>
      </c>
      <c r="B28" t="s">
        <v>108</v>
      </c>
      <c r="C28">
        <v>2</v>
      </c>
    </row>
    <row r="29" spans="1:3" x14ac:dyDescent="0.2">
      <c r="A29">
        <v>28</v>
      </c>
      <c r="B29" t="s">
        <v>109</v>
      </c>
      <c r="C29">
        <v>2</v>
      </c>
    </row>
    <row r="30" spans="1:3" x14ac:dyDescent="0.2">
      <c r="A30">
        <v>29</v>
      </c>
      <c r="B30" t="s">
        <v>110</v>
      </c>
      <c r="C30">
        <v>2</v>
      </c>
    </row>
    <row r="31" spans="1:3" x14ac:dyDescent="0.2">
      <c r="A31">
        <v>30</v>
      </c>
      <c r="B31" t="s">
        <v>111</v>
      </c>
      <c r="C31">
        <v>2</v>
      </c>
    </row>
    <row r="32" spans="1:3" x14ac:dyDescent="0.2">
      <c r="A32">
        <v>31</v>
      </c>
      <c r="B32" t="s">
        <v>112</v>
      </c>
      <c r="C32">
        <v>2</v>
      </c>
    </row>
    <row r="33" spans="1:3" x14ac:dyDescent="0.2">
      <c r="A33">
        <v>32</v>
      </c>
      <c r="B33" t="s">
        <v>113</v>
      </c>
      <c r="C33">
        <v>2</v>
      </c>
    </row>
    <row r="34" spans="1:3" x14ac:dyDescent="0.2">
      <c r="A34">
        <v>33</v>
      </c>
      <c r="B34" t="s">
        <v>114</v>
      </c>
      <c r="C34">
        <v>2</v>
      </c>
    </row>
    <row r="35" spans="1:3" x14ac:dyDescent="0.2">
      <c r="A35">
        <v>34</v>
      </c>
      <c r="B35" t="s">
        <v>150</v>
      </c>
      <c r="C35">
        <v>2</v>
      </c>
    </row>
    <row r="36" spans="1:3" x14ac:dyDescent="0.2">
      <c r="A36">
        <v>35</v>
      </c>
      <c r="B36" t="s">
        <v>115</v>
      </c>
      <c r="C36">
        <v>2</v>
      </c>
    </row>
    <row r="37" spans="1:3" x14ac:dyDescent="0.2">
      <c r="A37">
        <v>36</v>
      </c>
      <c r="B37" t="s">
        <v>116</v>
      </c>
      <c r="C37">
        <v>2</v>
      </c>
    </row>
    <row r="38" spans="1:3" x14ac:dyDescent="0.2">
      <c r="A38">
        <v>37</v>
      </c>
      <c r="B38" t="s">
        <v>117</v>
      </c>
      <c r="C38">
        <v>2</v>
      </c>
    </row>
    <row r="39" spans="1:3" x14ac:dyDescent="0.2">
      <c r="A39">
        <v>38</v>
      </c>
      <c r="B39" t="s">
        <v>118</v>
      </c>
      <c r="C39">
        <v>1</v>
      </c>
    </row>
    <row r="40" spans="1:3" x14ac:dyDescent="0.2">
      <c r="A40">
        <v>39</v>
      </c>
      <c r="B40" t="s">
        <v>119</v>
      </c>
      <c r="C40">
        <v>1</v>
      </c>
    </row>
    <row r="41" spans="1:3" x14ac:dyDescent="0.2">
      <c r="A41">
        <v>40</v>
      </c>
      <c r="B41" t="s">
        <v>120</v>
      </c>
      <c r="C41">
        <v>1</v>
      </c>
    </row>
    <row r="42" spans="1:3" x14ac:dyDescent="0.2">
      <c r="A42">
        <v>41</v>
      </c>
      <c r="B42" t="s">
        <v>121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abSelected="1" topLeftCell="R1" zoomScale="94" workbookViewId="0">
      <selection activeCell="V12" sqref="V12"/>
    </sheetView>
  </sheetViews>
  <sheetFormatPr baseColWidth="10" defaultColWidth="8.83203125" defaultRowHeight="15" x14ac:dyDescent="0.2"/>
  <cols>
    <col min="1" max="1" width="12.1640625" bestFit="1" customWidth="1"/>
    <col min="2" max="32" width="10.1640625" bestFit="1" customWidth="1"/>
  </cols>
  <sheetData>
    <row r="1" spans="1:32" x14ac:dyDescent="0.2">
      <c r="A1" s="1" t="s">
        <v>67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str">
        <f>Events!B25</f>
        <v>HT</v>
      </c>
      <c r="B25" s="4">
        <f>Events!J25</f>
        <v>46095</v>
      </c>
    </row>
    <row r="26" spans="1:2" x14ac:dyDescent="0.2">
      <c r="A26" t="str">
        <f>Events!B26</f>
        <v>HT</v>
      </c>
      <c r="B26" s="4">
        <f>Events!J26</f>
        <v>46102</v>
      </c>
    </row>
    <row r="27" spans="1:2" x14ac:dyDescent="0.2">
      <c r="A27" t="str">
        <f>Events!B27</f>
        <v>HT</v>
      </c>
      <c r="B27" s="4">
        <f>Events!J27</f>
        <v>46109</v>
      </c>
    </row>
    <row r="28" spans="1:2" x14ac:dyDescent="0.2">
      <c r="A28" t="str">
        <f>Events!B28</f>
        <v>EÁ</v>
      </c>
      <c r="B28" s="4">
        <f>Events!J28</f>
        <v>46088</v>
      </c>
    </row>
    <row r="29" spans="1:2" x14ac:dyDescent="0.2">
      <c r="A29" t="str">
        <f>Events!B29</f>
        <v>EÁ</v>
      </c>
      <c r="B29" s="4">
        <f>Events!J29</f>
        <v>46102</v>
      </c>
    </row>
    <row r="30" spans="1:2" x14ac:dyDescent="0.2">
      <c r="A30" t="str">
        <f>Events!B30</f>
        <v>EÁ</v>
      </c>
      <c r="B30" s="4">
        <f>Events!J30</f>
        <v>46109</v>
      </c>
    </row>
    <row r="31" spans="1:2" x14ac:dyDescent="0.2">
      <c r="A31" t="str">
        <f>Events!B31</f>
        <v>Múlinn</v>
      </c>
      <c r="B31" s="4">
        <f>Events!J31</f>
        <v>46085</v>
      </c>
    </row>
    <row r="32" spans="1:2" x14ac:dyDescent="0.2">
      <c r="A32" t="str">
        <f>Events!B32</f>
        <v>Múlinn</v>
      </c>
      <c r="B32" s="4">
        <f>Events!J32</f>
        <v>46092</v>
      </c>
    </row>
    <row r="33" spans="1:2" x14ac:dyDescent="0.2">
      <c r="A33" t="str">
        <f>Events!B33</f>
        <v>Múlinn</v>
      </c>
      <c r="B33" s="4">
        <f>Events!J33</f>
        <v>46099</v>
      </c>
    </row>
    <row r="34" spans="1:2" x14ac:dyDescent="0.2">
      <c r="A34" t="str">
        <f>Events!B34</f>
        <v>Múlinn</v>
      </c>
      <c r="B34" s="4">
        <f>Events!J34</f>
        <v>46106</v>
      </c>
    </row>
    <row r="35" spans="1:2" x14ac:dyDescent="0.2">
      <c r="A35" t="str">
        <f>Events!B35</f>
        <v>UR</v>
      </c>
      <c r="B35" s="4">
        <f>Events!J35</f>
        <v>46091</v>
      </c>
    </row>
    <row r="36" spans="1:2" x14ac:dyDescent="0.2">
      <c r="A36" t="str">
        <f>Events!B36</f>
        <v>KD</v>
      </c>
      <c r="B36" s="4">
        <f>Events!J36</f>
        <v>46098</v>
      </c>
    </row>
    <row r="37" spans="1:2" x14ac:dyDescent="0.2">
      <c r="A37" t="str">
        <f>Events!B37</f>
        <v>JN</v>
      </c>
      <c r="B37" s="4">
        <f>Events!J37</f>
        <v>46097</v>
      </c>
    </row>
    <row r="38" spans="1:2" x14ac:dyDescent="0.2">
      <c r="A38" t="str">
        <f>Events!B38</f>
        <v>K&amp;B</v>
      </c>
      <c r="B38" s="4">
        <f>Events!J38</f>
        <v>46103</v>
      </c>
    </row>
    <row r="39" spans="1:2" x14ac:dyDescent="0.2">
      <c r="A39" t="str">
        <f>Events!B39</f>
        <v>Svef</v>
      </c>
      <c r="B39" s="4">
        <f>Events!J39</f>
        <v>46107</v>
      </c>
    </row>
    <row r="40" spans="1:2" x14ac:dyDescent="0.2">
      <c r="A40" t="str">
        <f>Events!B40</f>
        <v>Sígildir</v>
      </c>
      <c r="B40" s="4">
        <f>Events!J40</f>
        <v>46096</v>
      </c>
    </row>
    <row r="41" spans="1:2" x14ac:dyDescent="0.2">
      <c r="A41" t="str">
        <f>Events!B41</f>
        <v>tón</v>
      </c>
      <c r="B41" s="4">
        <f>Events!J41</f>
        <v>46087</v>
      </c>
    </row>
    <row r="42" spans="1:2" x14ac:dyDescent="0.2">
      <c r="A42" t="str">
        <f>Events!B42</f>
        <v>ÖL</v>
      </c>
      <c r="B42" s="4">
        <f>Events!J42</f>
        <v>46092</v>
      </c>
    </row>
    <row r="43" spans="1:2" x14ac:dyDescent="0.2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K22" sqref="K22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74</v>
      </c>
      <c r="B1" s="1" t="s">
        <v>75</v>
      </c>
      <c r="C1" s="1" t="s">
        <v>76</v>
      </c>
    </row>
    <row r="2" spans="1:5" x14ac:dyDescent="0.2">
      <c r="A2" t="s">
        <v>77</v>
      </c>
      <c r="B2">
        <v>0</v>
      </c>
      <c r="C2">
        <v>50</v>
      </c>
    </row>
    <row r="3" spans="1:5" x14ac:dyDescent="0.2">
      <c r="A3" t="s">
        <v>77</v>
      </c>
      <c r="B3">
        <v>1</v>
      </c>
      <c r="C3">
        <v>30</v>
      </c>
    </row>
    <row r="4" spans="1:5" x14ac:dyDescent="0.2">
      <c r="A4" t="s">
        <v>77</v>
      </c>
      <c r="B4">
        <v>2</v>
      </c>
      <c r="C4">
        <v>15</v>
      </c>
    </row>
    <row r="5" spans="1:5" x14ac:dyDescent="0.2">
      <c r="A5" t="s">
        <v>77</v>
      </c>
      <c r="B5">
        <v>3</v>
      </c>
      <c r="C5">
        <v>-10</v>
      </c>
    </row>
    <row r="6" spans="1:5" x14ac:dyDescent="0.2">
      <c r="A6" t="s">
        <v>77</v>
      </c>
      <c r="B6">
        <v>4</v>
      </c>
      <c r="C6">
        <v>-50</v>
      </c>
    </row>
    <row r="7" spans="1:5" x14ac:dyDescent="0.2">
      <c r="A7" t="s">
        <v>78</v>
      </c>
      <c r="B7">
        <v>0</v>
      </c>
      <c r="C7">
        <v>50</v>
      </c>
      <c r="E7" s="3"/>
    </row>
    <row r="8" spans="1:5" x14ac:dyDescent="0.2">
      <c r="A8" t="s">
        <v>78</v>
      </c>
      <c r="B8">
        <v>1</v>
      </c>
      <c r="C8">
        <v>25</v>
      </c>
    </row>
    <row r="9" spans="1:5" x14ac:dyDescent="0.2">
      <c r="A9" t="s">
        <v>78</v>
      </c>
      <c r="B9">
        <v>2</v>
      </c>
      <c r="C9">
        <v>0</v>
      </c>
    </row>
    <row r="10" spans="1:5" x14ac:dyDescent="0.2">
      <c r="A10" t="s">
        <v>78</v>
      </c>
      <c r="B10">
        <v>3</v>
      </c>
      <c r="C10">
        <v>-25</v>
      </c>
    </row>
    <row r="11" spans="1:5" x14ac:dyDescent="0.2">
      <c r="A11" t="s">
        <v>78</v>
      </c>
      <c r="B11">
        <v>4</v>
      </c>
      <c r="C11">
        <v>-50</v>
      </c>
    </row>
    <row r="12" spans="1:5" x14ac:dyDescent="0.2">
      <c r="A12" t="s">
        <v>78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79</v>
      </c>
      <c r="B20">
        <v>0</v>
      </c>
      <c r="C20">
        <v>10</v>
      </c>
    </row>
    <row r="21" spans="1:3" x14ac:dyDescent="0.2">
      <c r="A21" t="s">
        <v>79</v>
      </c>
      <c r="B21">
        <v>1</v>
      </c>
      <c r="C21">
        <v>-10</v>
      </c>
    </row>
    <row r="22" spans="1:3" x14ac:dyDescent="0.2">
      <c r="A22" t="s">
        <v>79</v>
      </c>
      <c r="B22">
        <v>2</v>
      </c>
      <c r="C22">
        <v>-20</v>
      </c>
    </row>
    <row r="23" spans="1:3" x14ac:dyDescent="0.2">
      <c r="A23" t="s">
        <v>79</v>
      </c>
      <c r="B23">
        <v>3</v>
      </c>
      <c r="C23">
        <v>-40</v>
      </c>
    </row>
    <row r="24" spans="1:3" x14ac:dyDescent="0.2">
      <c r="A24" t="s">
        <v>79</v>
      </c>
      <c r="B24">
        <v>4</v>
      </c>
      <c r="C24">
        <v>-80</v>
      </c>
    </row>
    <row r="25" spans="1:3" x14ac:dyDescent="0.2">
      <c r="A25" t="s">
        <v>79</v>
      </c>
      <c r="B25">
        <v>5</v>
      </c>
      <c r="C25">
        <v>-160</v>
      </c>
    </row>
    <row r="26" spans="1:3" x14ac:dyDescent="0.2">
      <c r="A26" t="s">
        <v>80</v>
      </c>
      <c r="B26">
        <v>1</v>
      </c>
      <c r="C26">
        <v>-1</v>
      </c>
    </row>
    <row r="27" spans="1:3" x14ac:dyDescent="0.2">
      <c r="A27" t="s">
        <v>80</v>
      </c>
      <c r="B27">
        <v>2</v>
      </c>
      <c r="C27">
        <f>+C26*2</f>
        <v>-2</v>
      </c>
    </row>
    <row r="28" spans="1:3" x14ac:dyDescent="0.2">
      <c r="A28" t="s">
        <v>80</v>
      </c>
      <c r="B28">
        <v>3</v>
      </c>
      <c r="C28">
        <f>+C27*2</f>
        <v>-4</v>
      </c>
    </row>
    <row r="29" spans="1:3" x14ac:dyDescent="0.2">
      <c r="A29" t="s">
        <v>80</v>
      </c>
      <c r="B29">
        <v>4</v>
      </c>
      <c r="C29">
        <f>+C28*2</f>
        <v>-8</v>
      </c>
    </row>
    <row r="30" spans="1:3" x14ac:dyDescent="0.2">
      <c r="A30" t="s">
        <v>81</v>
      </c>
      <c r="B30">
        <v>1</v>
      </c>
      <c r="C30">
        <v>-50</v>
      </c>
    </row>
    <row r="31" spans="1:3" x14ac:dyDescent="0.2">
      <c r="A31" t="s">
        <v>86</v>
      </c>
      <c r="B31">
        <v>1</v>
      </c>
      <c r="C31">
        <v>65</v>
      </c>
    </row>
    <row r="32" spans="1:3" x14ac:dyDescent="0.2">
      <c r="A32" t="s">
        <v>87</v>
      </c>
      <c r="B32">
        <v>0</v>
      </c>
      <c r="C32">
        <v>20</v>
      </c>
    </row>
    <row r="33" spans="1:3" x14ac:dyDescent="0.2">
      <c r="A33" t="s">
        <v>87</v>
      </c>
      <c r="B33">
        <v>1</v>
      </c>
      <c r="C33">
        <v>0</v>
      </c>
    </row>
    <row r="34" spans="1:3" x14ac:dyDescent="0.2">
      <c r="A34" t="s">
        <v>87</v>
      </c>
      <c r="B34">
        <v>2</v>
      </c>
      <c r="C34">
        <v>-20</v>
      </c>
    </row>
    <row r="35" spans="1:3" x14ac:dyDescent="0.2">
      <c r="A35" t="s">
        <v>87</v>
      </c>
      <c r="B35">
        <v>3</v>
      </c>
      <c r="C35">
        <v>-60</v>
      </c>
    </row>
    <row r="36" spans="1:3" x14ac:dyDescent="0.2">
      <c r="A36" t="s">
        <v>87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82</v>
      </c>
      <c r="B1" s="1" t="s">
        <v>83</v>
      </c>
      <c r="C1" s="1" t="s">
        <v>76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I38" sqref="I38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7" t="s">
        <v>27</v>
      </c>
      <c r="B1" s="7"/>
      <c r="C1" s="7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84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9" workbookViewId="0">
      <selection activeCell="E13" sqref="E13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69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70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71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71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73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73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70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72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70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72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73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73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72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73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70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2026-05-02T15:28:16Z</dcterms:modified>
</cp:coreProperties>
</file>