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8_{4FF0C21A-9826-4E1C-9315-041A4744057E}" xr6:coauthVersionLast="47" xr6:coauthVersionMax="47" xr10:uidLastSave="{00000000-0000-0000-0000-000000000000}"/>
  <bookViews>
    <workbookView xWindow="-110" yWindow="-110" windowWidth="19420" windowHeight="11500" activeTab="4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2" i="3"/>
  <c r="E2" i="3"/>
  <c r="I3" i="3"/>
  <c r="I4" i="3"/>
  <c r="H3" i="3"/>
  <c r="H4" i="3"/>
  <c r="H5" i="3"/>
  <c r="G3" i="3"/>
  <c r="G4" i="3"/>
  <c r="G5" i="3"/>
  <c r="F3" i="3"/>
  <c r="F4" i="3"/>
  <c r="F5" i="3"/>
  <c r="E3" i="3"/>
  <c r="E4" i="3"/>
  <c r="E5" i="3"/>
  <c r="C27" i="6"/>
  <c r="C28" i="6" s="1"/>
  <c r="C29" i="6" s="1"/>
  <c r="C21" i="6"/>
  <c r="C22" i="6" s="1"/>
  <c r="C23" i="6" s="1"/>
  <c r="C24" i="6" s="1"/>
  <c r="F2" i="3"/>
  <c r="I2" i="3"/>
  <c r="H2" i="3"/>
  <c r="G2" i="3"/>
</calcChain>
</file>

<file path=xl/sharedStrings.xml><?xml version="1.0" encoding="utf-8"?>
<sst xmlns="http://schemas.openxmlformats.org/spreadsheetml/2006/main" count="155" uniqueCount="114">
  <si>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</si>
  <si>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</si>
  <si>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</si>
  <si>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</si>
  <si>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</si>
  <si>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</si>
  <si>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</si>
  <si>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</si>
  <si>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</si>
  <si>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</si>
  <si>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</si>
  <si>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</si>
  <si>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</si>
  <si>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</si>
  <si>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</si>
  <si>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</si>
  <si>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</si>
  <si>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</si>
  <si>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</si>
  <si>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</si>
  <si>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</si>
  <si>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</si>
  <si>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</si>
  <si>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</si>
  <si>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</si>
  <si>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</si>
  <si>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</si>
  <si>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</si>
  <si>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</si>
  <si>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</si>
  <si>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</si>
  <si>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</si>
  <si>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</si>
  <si>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</si>
  <si>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</si>
  <si>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</si>
  <si>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</si>
  <si>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</si>
  <si>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</si>
  <si>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</si>
  <si>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</si>
  <si>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</si>
  <si>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</si>
  <si>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</si>
  <si>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</si>
  <si>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</si>
  <si>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</si>
  <si>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</si>
  <si>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</si>
  <si>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</si>
  <si>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</si>
  <si>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</si>
  <si>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</si>
  <si>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</si>
  <si>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</si>
  <si>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</si>
  <si>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</si>
  <si>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</si>
  <si>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</si>
  <si>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</si>
  <si>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</si>
  <si>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</si>
  <si>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</si>
  <si>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</si>
  <si>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</si>
  <si>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</si>
  <si>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</si>
  <si>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</si>
  <si>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</si>
  <si>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</si>
  <si>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</si>
  <si>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</si>
  <si>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</si>
  <si>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</si>
  <si>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</si>
  <si>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</si>
  <si>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</si>
  <si>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</si>
  <si>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</si>
  <si>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</si>
  <si>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</si>
  <si>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</si>
  <si>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</si>
  <si>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</si>
  <si>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</si>
  <si>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</si>
  <si>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</si>
  <si>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</si>
  <si>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</si>
  <si>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</si>
  <si>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</si>
  <si>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</si>
  <si>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</si>
  <si>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</si>
  <si>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</si>
  <si>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</si>
  <si>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</si>
  <si>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</si>
  <si>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</si>
  <si>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</si>
  <si>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</si>
  <si>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</si>
  <si>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EmployeeID</t>
  </si>
  <si>
    <t>EmployeeName</t>
  </si>
  <si>
    <t>Ásdís</t>
  </si>
  <si>
    <t>Össur</t>
  </si>
  <si>
    <t>Helgi</t>
  </si>
  <si>
    <t>11.05.2024</t>
  </si>
  <si>
    <t>31.05.2024</t>
  </si>
  <si>
    <t>EventCategory</t>
  </si>
  <si>
    <t>Solo</t>
  </si>
  <si>
    <t>Barna</t>
  </si>
  <si>
    <t>Party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</si>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</sst>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0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5"/>
  <sheetViews>
    <sheetView zoomScale="71" zoomScaleNormal="71" workbookViewId="0"/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31</v>
      </c>
      <c r="C1" s="2" t="s">
        <v>52</v>
      </c>
      <c r="D1" s="2" t="s">
        <v>109</v>
      </c>
      <c r="E1" s="2" t="s">
        <v>59</v>
      </c>
      <c r="F1" s="2" t="s">
        <v>32</v>
      </c>
      <c r="G1" s="2" t="s">
        <v>53</v>
      </c>
      <c r="H1" s="2" t="s">
        <v>54</v>
      </c>
      <c r="I1" s="2" t="s">
        <v>55</v>
      </c>
      <c r="J1" s="2" t="s">
        <v>41</v>
      </c>
      <c r="K1" s="2" t="s">
        <v>56</v>
      </c>
      <c r="L1" s="2" t="s">
        <v>57</v>
      </c>
    </row>
    <row r="2" spans="1:12" x14ac:dyDescent="0.35">
      <c r="A2">
        <v>1</v>
      </c>
      <c r="B2" t="s">
        <v>101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8</v>
      </c>
      <c r="B3" t="s">
        <v>44</v>
      </c>
      <c r="C3" t="s">
        <v>44</v>
      </c>
      <c r="D3" t="str">
        <f>_xlfn.XLOOKUP(C3,EventTypes!A:A,EventTypes!B:B,"")</f>
        <v>Solo</v>
      </c>
      <c r="E3">
        <f>_xlfn.XLOOKUP(C3,EventTypes!A:A,EventTypes!D:D,"")</f>
        <v>80</v>
      </c>
      <c r="F3" t="str">
        <f>_xlfn.XLOOKUP(C3,EventTypes!A:A,EventTypes!C:C,"")</f>
        <v>NL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</v>
      </c>
      <c r="K3" s="1">
        <v>0.66666666666666663</v>
      </c>
      <c r="L3" s="1">
        <v>0.83333333333333337</v>
      </c>
    </row>
    <row r="4" spans="1:12" x14ac:dyDescent="0.35">
      <c r="A4">
        <v>14</v>
      </c>
      <c r="B4" t="s">
        <v>43</v>
      </c>
      <c r="C4" t="s">
        <v>40</v>
      </c>
      <c r="D4" t="str">
        <f>_xlfn.XLOOKUP(C4,EventTypes!A:A,EventTypes!B:B,"")</f>
        <v>Solo</v>
      </c>
      <c r="E4">
        <f>_xlfn.XLOOKUP(C4,EventTypes!A:A,EventTypes!D:D,"")</f>
        <v>100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0</v>
      </c>
      <c r="I4">
        <f>_xlfn.XLOOKUP(C4,EventTypes!A:A,EventTypes!G:G,"")</f>
        <v>1</v>
      </c>
      <c r="J4" t="s">
        <v>107</v>
      </c>
      <c r="K4" s="1">
        <v>0.75</v>
      </c>
      <c r="L4" s="1">
        <v>0.83333333333333337</v>
      </c>
    </row>
    <row r="5" spans="1:12" x14ac:dyDescent="0.35">
      <c r="A5">
        <v>30</v>
      </c>
      <c r="B5" t="s">
        <v>47</v>
      </c>
      <c r="C5" t="s">
        <v>47</v>
      </c>
      <c r="D5" t="str">
        <f>_xlfn.XLOOKUP(C5,EventTypes!A:A,EventTypes!B:B,"")</f>
        <v>Fatahengi</v>
      </c>
      <c r="E5">
        <f>_xlfn.XLOOKUP(C5,EventTypes!A:A,EventTypes!D:D,"")</f>
        <v>100</v>
      </c>
      <c r="F5" t="str">
        <f>_xlfn.XLOOKUP(C5,EventTypes!A:A,EventTypes!C:C,"")</f>
        <v>Fatahengi</v>
      </c>
      <c r="G5">
        <f>_xlfn.XLOOKUP(C5,EventTypes!A:A,EventTypes!E:E,"")</f>
        <v>0</v>
      </c>
      <c r="H5">
        <f>_xlfn.XLOOKUP(C5,EventTypes!A:A,EventTypes!F:F,"")</f>
        <v>0</v>
      </c>
      <c r="I5">
        <v>2</v>
      </c>
      <c r="J5" t="s">
        <v>108</v>
      </c>
      <c r="K5" s="1">
        <v>0.75</v>
      </c>
      <c r="L5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"/>
  <sheetViews>
    <sheetView zoomScale="111" workbookViewId="0">
      <selection activeCell="C4" sqref="C4"/>
    </sheetView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102</v>
      </c>
      <c r="B1" s="2" t="s">
        <v>103</v>
      </c>
      <c r="C1" s="2" t="s">
        <v>93</v>
      </c>
    </row>
    <row r="2" spans="1:3" x14ac:dyDescent="0.35">
      <c r="A2">
        <v>1</v>
      </c>
      <c r="B2" t="s">
        <v>104</v>
      </c>
      <c r="C2">
        <v>1</v>
      </c>
    </row>
    <row r="3" spans="1:3" x14ac:dyDescent="0.35">
      <c r="A3">
        <v>2</v>
      </c>
      <c r="B3" t="s">
        <v>106</v>
      </c>
      <c r="C3">
        <v>2</v>
      </c>
    </row>
    <row r="4" spans="1:3" x14ac:dyDescent="0.35">
      <c r="A4">
        <v>3</v>
      </c>
      <c r="B4" t="s">
        <v>105</v>
      </c>
      <c r="C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"/>
  <sheetViews>
    <sheetView zoomScale="59" workbookViewId="0">
      <selection activeCell="A6" sqref="A6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102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21</v>
      </c>
      <c r="W1" s="3" t="s">
        <v>20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109</v>
      </c>
      <c r="C1" s="2" t="s">
        <v>32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38</v>
      </c>
      <c r="B2" t="s">
        <v>110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111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111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113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113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110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112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110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112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113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113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112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113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110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abSelected="1" workbookViewId="0">
      <selection activeCell="A2" sqref="A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4" t="s">
        <v>60</v>
      </c>
      <c r="B1" s="4"/>
      <c r="C1" s="4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94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96</v>
      </c>
      <c r="C37">
        <v>-50</v>
      </c>
    </row>
    <row r="38" spans="1:3" x14ac:dyDescent="0.35">
      <c r="B38" t="s">
        <v>97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99</v>
      </c>
      <c r="C40">
        <v>100</v>
      </c>
    </row>
    <row r="41" spans="1:3" x14ac:dyDescent="0.35">
      <c r="B41" t="s">
        <v>100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2026-03-25T18:53:07Z</dcterms:modified>
</cp:coreProperties>
</file>