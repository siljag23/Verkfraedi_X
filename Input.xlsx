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8_{67B7C5E1-4B87-4E9D-BDA5-AE1E5B8249C9}" xr6:coauthVersionLast="47" xr6:coauthVersionMax="47" xr10:uidLastSave="{00000000-0000-0000-0000-000000000000}"/>
  <bookViews>
    <workbookView xWindow="-110" yWindow="-110" windowWidth="19420" windowHeight="11500" firstSheet="1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2" i="3"/>
  <c r="D3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6" i="7"/>
  <c r="C27" i="7" s="1"/>
  <c r="C28" i="7" s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<sst xmlns="http://schemas.openxmlformats.org/spreadsheetml/2006/main" count="348" uniqueCount="178">
  <si>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</si>
  <si>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</si>
  <si>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</si>
  <si>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</si>
  <si>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</si>
  <si>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</si>
  <si>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</si>
  <si>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</si>
  <si>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</si>
  <si>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</si>
  <si>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</si>
  <si>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</si>
  <si>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</si>
  <si>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</si>
  <si>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</si>
  <si>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</si>
  <si>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</si>
  <si>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</si>
  <si>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</si>
  <si>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</si>
  <si>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</si>
  <si>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</si>
  <si>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</si>
  <si>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</si>
  <si>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</si>
  <si>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</si>
  <si>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</si>
  <si>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</si>
  <si>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</si>
  <si>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</si>
  <si>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</si>
  <si>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</si>
  <si>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</si>
  <si>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</si>
  <si>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</si>
  <si>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</si>
  <si>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</si>
  <si>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</si>
  <si>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</si>
  <si>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</si>
  <si>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</si>
  <si>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</si>
  <si>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</si>
  <si>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</si>
  <si>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</si>
  <si>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</si>
  <si>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</si>
  <si>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</si>
  <si>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</si>
  <si>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</si>
  <si>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</si>
  <si>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</si>
  <si>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</si>
  <si>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</si>
  <si>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</si>
  <si>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</si>
  <si>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</si>
  <si>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</si>
  <si>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</si>
  <si>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</si>
  <si>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</si>
  <si>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</si>
  <si>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</si>
  <si>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</si>
  <si>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</si>
  <si>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</si>
  <si>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</si>
  <si>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</si>
  <si>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</si>
  <si>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</si>
  <si>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</si>
  <si>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</si>
  <si>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</si>
  <si>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</si>
  <si>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</si>
  <si>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</si>
  <si>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</si>
  <si>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</si>
  <si>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</si>
  <si>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</si>
  <si>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</si>
  <si>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</si>
  <si>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</si>
  <si>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</si>
  <si>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</si>
  <si>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</si>
  <si>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</si>
  <si>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</si>
  <si>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</si>
  <si>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</si>
  <si>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</si>
  <si>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</si>
  <si>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</si>
  <si>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</si>
  <si>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</si>
  <si>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</si>
  <si>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</si>
  <si>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</si>
  <si>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</si>
  <si>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</si>
  <si>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</si>
  <si>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</si>
  <si>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</si>
  <si>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</si>
  <si>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</si>
  <si>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</si>
  <si>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</si>
  <si>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</si>
  <si>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</si>
  <si>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</si>
  <si>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</si>
  <si>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</si>
  <si>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</si>
  <si>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</si>
  <si>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</si>
  <si>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</si>
  <si>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</si>
  <si>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</si>
  <si>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</si>
  <si>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</si>
  <si>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</si>
  <si>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</si>
  <si>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</si>
  <si>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</si>
  <si>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</si>
  <si>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</si>
  <si>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</si>
  <si>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</si>
  <si>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</si>
  <si>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</si>
  <si>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</si>
  <si>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</si>
  <si>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</si>
  <si>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</si>
  <si>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</si>
  <si>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</si>
  <si>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</si>
  <si>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</si>
  <si>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</si>
  <si>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</si>
  <si>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</si>
  <si>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</si>
  <si>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</si>
  <si>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</si>
  <si>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</si>
  <si>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</si>
  <si>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</si>
  <si>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</si>
  <si>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</si>
  <si>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</si>
  <si>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</si>
  <si>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</si>
  <si>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</si>
  <si>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</si>
  <si>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</si>
  <si>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</si>
  <si>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</si>
  <si>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</si>
  <si>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</si>
  <si>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</si>
  <si>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</si>
  <si>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</si>
  <si>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</si>
  <si>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</si>
  <si>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</si>
  <si>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</si>
  <si>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</si>
  <si>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</si>
  <si>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</si>
  <si>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</si>
  <si>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</si>
  <si>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</si>
  <si>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</si>
  <si>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</si>
  <si>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</si>
  <si>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x</t>
  </si>
  <si>
    <t>Req_this_shift</t>
  </si>
  <si>
    <t>30.5.2024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</si>
</sst>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Normal="100" workbookViewId="0">
      <selection activeCell="E17" sqref="E17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30</v>
      </c>
      <c r="C1" s="2" t="s">
        <v>52</v>
      </c>
      <c r="D1" s="2" t="s">
        <v>158</v>
      </c>
      <c r="E1" s="2" t="s">
        <v>59</v>
      </c>
      <c r="F1" s="2" t="s">
        <v>31</v>
      </c>
      <c r="G1" s="2" t="s">
        <v>53</v>
      </c>
      <c r="H1" s="2" t="s">
        <v>54</v>
      </c>
      <c r="I1" s="2" t="s">
        <v>55</v>
      </c>
      <c r="J1" s="2" t="s">
        <v>40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33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41</v>
      </c>
      <c r="K2" s="1">
        <v>0.625</v>
      </c>
      <c r="L2" s="1">
        <v>0.75</v>
      </c>
    </row>
    <row r="3" spans="1:12" x14ac:dyDescent="0.35">
      <c r="A3">
        <v>2</v>
      </c>
      <c r="B3" t="s">
        <v>42</v>
      </c>
      <c r="C3" t="s">
        <v>39</v>
      </c>
      <c r="D3" t="str">
        <f>_xlfn.XLOOKUP(C3,EventTypes!A:A,EventTypes!B:B,"")</f>
        <v>Solo</v>
      </c>
      <c r="E3">
        <f>_xlfn.XLOOKUP(C3,EventTypes!A:A,EventTypes!D:D,"")</f>
        <v>100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41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100</v>
      </c>
      <c r="C4" t="s">
        <v>36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41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100</v>
      </c>
      <c r="C5" t="s">
        <v>36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46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100</v>
      </c>
      <c r="C6" t="s">
        <v>33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102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101</v>
      </c>
      <c r="C7" t="s">
        <v>48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42</v>
      </c>
      <c r="C8" t="s">
        <v>39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43</v>
      </c>
      <c r="C9" t="s">
        <v>43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103</v>
      </c>
      <c r="C10" t="s">
        <v>49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37</v>
      </c>
      <c r="C11" t="s">
        <v>37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38</v>
      </c>
      <c r="C12" t="s">
        <v>38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104</v>
      </c>
      <c r="C13" t="s">
        <v>44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139</v>
      </c>
      <c r="C14" t="s">
        <v>44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143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42</v>
      </c>
      <c r="C15" t="s">
        <v>39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143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140</v>
      </c>
      <c r="C16" t="s">
        <v>45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144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43</v>
      </c>
      <c r="C17" t="s">
        <v>43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144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47</v>
      </c>
      <c r="C18" t="s">
        <v>47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145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47</v>
      </c>
      <c r="C19" t="s">
        <v>47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146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38</v>
      </c>
      <c r="C20" t="s">
        <v>38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147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42</v>
      </c>
      <c r="C21" t="s">
        <v>39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148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141</v>
      </c>
      <c r="C22" t="s">
        <v>44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149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43</v>
      </c>
      <c r="C23" t="s">
        <v>43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150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99</v>
      </c>
      <c r="C24" t="s">
        <v>33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150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101</v>
      </c>
      <c r="C25" t="s">
        <v>48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151</v>
      </c>
      <c r="K25" s="1">
        <v>0.75</v>
      </c>
      <c r="L25" s="1">
        <v>0.875</v>
      </c>
    </row>
    <row r="26" spans="1:12" x14ac:dyDescent="0.35">
      <c r="A26">
        <v>25</v>
      </c>
      <c r="B26" t="s">
        <v>37</v>
      </c>
      <c r="C26" t="s">
        <v>37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152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47</v>
      </c>
      <c r="C27" t="s">
        <v>47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153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142</v>
      </c>
      <c r="C28" t="s">
        <v>48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154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101</v>
      </c>
      <c r="C29" t="s">
        <v>48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155</v>
      </c>
      <c r="K29" s="1">
        <v>0.5</v>
      </c>
      <c r="L29" s="1">
        <v>0.58333333333333337</v>
      </c>
    </row>
    <row r="30" spans="1:12" x14ac:dyDescent="0.35">
      <c r="A30">
        <v>29</v>
      </c>
      <c r="B30" t="s">
        <v>37</v>
      </c>
      <c r="C30" t="s">
        <v>37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156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47</v>
      </c>
      <c r="C31" t="s">
        <v>47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157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A9" zoomScale="74" workbookViewId="0">
      <selection activeCell="C18" sqref="C18"/>
    </sheetView>
  </sheetViews>
  <sheetFormatPr defaultRowHeight="14.5" x14ac:dyDescent="0.35"/>
  <cols>
    <col min="1" max="1" width="11.81640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105</v>
      </c>
      <c r="B1" s="2" t="s">
        <v>106</v>
      </c>
      <c r="C1" s="2" t="s">
        <v>93</v>
      </c>
    </row>
    <row r="2" spans="1:3" x14ac:dyDescent="0.35">
      <c r="A2">
        <v>1</v>
      </c>
      <c r="B2" t="s">
        <v>128</v>
      </c>
      <c r="C2">
        <v>3</v>
      </c>
    </row>
    <row r="3" spans="1:3" x14ac:dyDescent="0.35">
      <c r="A3">
        <v>2</v>
      </c>
      <c r="B3" t="s">
        <v>137</v>
      </c>
      <c r="C3">
        <v>3</v>
      </c>
    </row>
    <row r="4" spans="1:3" x14ac:dyDescent="0.35">
      <c r="A4">
        <v>3</v>
      </c>
      <c r="B4" t="s">
        <v>131</v>
      </c>
      <c r="C4">
        <v>3</v>
      </c>
    </row>
    <row r="5" spans="1:3" x14ac:dyDescent="0.35">
      <c r="A5">
        <v>4</v>
      </c>
      <c r="B5" t="s">
        <v>126</v>
      </c>
      <c r="C5">
        <v>3</v>
      </c>
    </row>
    <row r="6" spans="1:3" x14ac:dyDescent="0.35">
      <c r="A6">
        <v>5</v>
      </c>
      <c r="B6" t="s">
        <v>124</v>
      </c>
      <c r="C6">
        <v>2</v>
      </c>
    </row>
    <row r="7" spans="1:3" x14ac:dyDescent="0.35">
      <c r="A7">
        <v>6</v>
      </c>
      <c r="B7" t="s">
        <v>127</v>
      </c>
      <c r="C7">
        <v>2</v>
      </c>
    </row>
    <row r="8" spans="1:3" x14ac:dyDescent="0.35">
      <c r="A8">
        <v>7</v>
      </c>
      <c r="B8" t="s">
        <v>135</v>
      </c>
      <c r="C8">
        <v>2</v>
      </c>
    </row>
    <row r="9" spans="1:3" x14ac:dyDescent="0.35">
      <c r="A9">
        <v>8</v>
      </c>
      <c r="B9" t="s">
        <v>129</v>
      </c>
      <c r="C9">
        <v>2</v>
      </c>
    </row>
    <row r="10" spans="1:3" x14ac:dyDescent="0.35">
      <c r="A10">
        <v>9</v>
      </c>
      <c r="B10" t="s">
        <v>112</v>
      </c>
      <c r="C10">
        <v>2</v>
      </c>
    </row>
    <row r="11" spans="1:3" x14ac:dyDescent="0.35">
      <c r="A11">
        <v>10</v>
      </c>
      <c r="B11" t="s">
        <v>138</v>
      </c>
      <c r="C11">
        <v>2</v>
      </c>
    </row>
    <row r="12" spans="1:3" x14ac:dyDescent="0.35">
      <c r="A12">
        <v>11</v>
      </c>
      <c r="B12" t="s">
        <v>121</v>
      </c>
      <c r="C12">
        <v>2</v>
      </c>
    </row>
    <row r="13" spans="1:3" x14ac:dyDescent="0.35">
      <c r="A13">
        <v>12</v>
      </c>
      <c r="B13" t="s">
        <v>118</v>
      </c>
      <c r="C13">
        <v>1</v>
      </c>
    </row>
    <row r="14" spans="1:3" x14ac:dyDescent="0.35">
      <c r="A14">
        <v>13</v>
      </c>
      <c r="B14" t="s">
        <v>111</v>
      </c>
      <c r="C14">
        <v>2</v>
      </c>
    </row>
    <row r="15" spans="1:3" x14ac:dyDescent="0.35">
      <c r="A15">
        <v>14</v>
      </c>
      <c r="B15" t="s">
        <v>123</v>
      </c>
      <c r="C15">
        <v>2</v>
      </c>
    </row>
    <row r="16" spans="1:3" x14ac:dyDescent="0.35">
      <c r="A16">
        <v>15</v>
      </c>
      <c r="B16" t="s">
        <v>110</v>
      </c>
      <c r="C16">
        <v>2</v>
      </c>
    </row>
    <row r="17" spans="1:3" x14ac:dyDescent="0.35">
      <c r="A17">
        <v>16</v>
      </c>
      <c r="B17" t="s">
        <v>136</v>
      </c>
      <c r="C17">
        <v>2</v>
      </c>
    </row>
    <row r="18" spans="1:3" x14ac:dyDescent="0.35">
      <c r="A18">
        <v>17</v>
      </c>
      <c r="B18" t="s">
        <v>133</v>
      </c>
      <c r="C18">
        <v>2</v>
      </c>
    </row>
    <row r="19" spans="1:3" x14ac:dyDescent="0.35">
      <c r="A19">
        <v>18</v>
      </c>
      <c r="B19" t="s">
        <v>134</v>
      </c>
      <c r="C19">
        <v>1</v>
      </c>
    </row>
    <row r="20" spans="1:3" x14ac:dyDescent="0.35">
      <c r="A20">
        <v>19</v>
      </c>
      <c r="B20" t="s">
        <v>132</v>
      </c>
      <c r="C20">
        <v>1</v>
      </c>
    </row>
    <row r="21" spans="1:3" x14ac:dyDescent="0.35">
      <c r="A21">
        <v>20</v>
      </c>
      <c r="B21" t="s">
        <v>119</v>
      </c>
      <c r="C21">
        <v>2</v>
      </c>
    </row>
    <row r="22" spans="1:3" x14ac:dyDescent="0.35">
      <c r="A22">
        <v>21</v>
      </c>
      <c r="B22" t="s">
        <v>115</v>
      </c>
      <c r="C22">
        <v>2</v>
      </c>
    </row>
    <row r="23" spans="1:3" x14ac:dyDescent="0.35">
      <c r="A23">
        <v>22</v>
      </c>
      <c r="B23" t="s">
        <v>114</v>
      </c>
      <c r="C23">
        <v>1</v>
      </c>
    </row>
    <row r="24" spans="1:3" x14ac:dyDescent="0.35">
      <c r="A24">
        <v>23</v>
      </c>
      <c r="B24" t="s">
        <v>117</v>
      </c>
      <c r="C24">
        <v>2</v>
      </c>
    </row>
    <row r="25" spans="1:3" x14ac:dyDescent="0.35">
      <c r="A25">
        <v>24</v>
      </c>
      <c r="B25" t="s">
        <v>130</v>
      </c>
      <c r="C25">
        <v>2</v>
      </c>
    </row>
    <row r="26" spans="1:3" x14ac:dyDescent="0.35">
      <c r="A26">
        <v>25</v>
      </c>
      <c r="B26" t="s">
        <v>116</v>
      </c>
      <c r="C26">
        <v>2</v>
      </c>
    </row>
    <row r="27" spans="1:3" x14ac:dyDescent="0.35">
      <c r="A27">
        <v>26</v>
      </c>
      <c r="B27" t="s">
        <v>125</v>
      </c>
      <c r="C27">
        <v>1</v>
      </c>
    </row>
    <row r="28" spans="1:3" x14ac:dyDescent="0.35">
      <c r="A28">
        <v>27</v>
      </c>
      <c r="B28" t="s">
        <v>109</v>
      </c>
      <c r="C28">
        <v>1</v>
      </c>
    </row>
    <row r="29" spans="1:3" x14ac:dyDescent="0.35">
      <c r="A29">
        <v>28</v>
      </c>
      <c r="B29" t="s">
        <v>120</v>
      </c>
      <c r="C29">
        <v>1</v>
      </c>
    </row>
    <row r="30" spans="1:3" x14ac:dyDescent="0.35">
      <c r="A30">
        <v>29</v>
      </c>
      <c r="B30" t="s">
        <v>122</v>
      </c>
      <c r="C30">
        <v>1</v>
      </c>
    </row>
    <row r="31" spans="1:3" x14ac:dyDescent="0.35">
      <c r="A31">
        <v>30</v>
      </c>
      <c r="B31" t="s">
        <v>107</v>
      </c>
      <c r="C31">
        <v>1</v>
      </c>
    </row>
    <row r="32" spans="1:3" x14ac:dyDescent="0.35">
      <c r="A32">
        <v>31</v>
      </c>
      <c r="B32" t="s">
        <v>108</v>
      </c>
      <c r="C32">
        <v>2</v>
      </c>
    </row>
    <row r="33" spans="1:3" x14ac:dyDescent="0.35">
      <c r="A33">
        <v>32</v>
      </c>
      <c r="B33" t="s">
        <v>113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abSelected="1" zoomScale="67" workbookViewId="0">
      <selection activeCell="AF3" sqref="AF3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105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177</v>
      </c>
      <c r="AF1" s="5" t="s">
        <v>29</v>
      </c>
    </row>
    <row r="2" spans="1:32" x14ac:dyDescent="0.35">
      <c r="A2">
        <v>1</v>
      </c>
      <c r="C2">
        <v>1</v>
      </c>
      <c r="D2">
        <v>1</v>
      </c>
      <c r="E2">
        <v>1</v>
      </c>
      <c r="AF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zoomScale="69" workbookViewId="0">
      <selection activeCell="I28" sqref="I28"/>
    </sheetView>
  </sheetViews>
  <sheetFormatPr defaultRowHeight="14.5" x14ac:dyDescent="0.35"/>
  <cols>
    <col min="1" max="1" width="12.1796875" bestFit="1" customWidth="1"/>
    <col min="2" max="2" width="11.08984375" bestFit="1" customWidth="1"/>
  </cols>
  <sheetData>
    <row r="1" spans="1:34" s="2" customFormat="1" x14ac:dyDescent="0.35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5">
      <c r="A2" t="str">
        <f>Events!B2</f>
        <v>Upprás</v>
      </c>
      <c r="B2" t="str">
        <f>Events!J2</f>
        <v>1.5.2024</v>
      </c>
    </row>
    <row r="3" spans="1:34" x14ac:dyDescent="0.35">
      <c r="A3" t="str">
        <f>Events!B3</f>
        <v xml:space="preserve">How to </v>
      </c>
      <c r="B3" t="str">
        <f>Events!J3</f>
        <v>1.5.2024</v>
      </c>
      <c r="C3" t="s">
        <v>175</v>
      </c>
      <c r="D3" t="s">
        <v>175</v>
      </c>
      <c r="E3" t="s">
        <v>175</v>
      </c>
      <c r="F3" t="s">
        <v>175</v>
      </c>
      <c r="G3" t="s">
        <v>175</v>
      </c>
      <c r="H3" t="s">
        <v>175</v>
      </c>
      <c r="I3" t="s">
        <v>175</v>
      </c>
      <c r="J3" t="s">
        <v>175</v>
      </c>
      <c r="K3" t="s">
        <v>175</v>
      </c>
      <c r="L3" t="s">
        <v>175</v>
      </c>
      <c r="M3" t="s">
        <v>175</v>
      </c>
      <c r="N3" t="s">
        <v>175</v>
      </c>
      <c r="O3" t="s">
        <v>175</v>
      </c>
      <c r="P3" t="s">
        <v>175</v>
      </c>
      <c r="Q3" t="s">
        <v>175</v>
      </c>
      <c r="R3" t="s">
        <v>175</v>
      </c>
      <c r="S3" t="s">
        <v>175</v>
      </c>
      <c r="T3" t="s">
        <v>175</v>
      </c>
      <c r="U3" t="s">
        <v>175</v>
      </c>
      <c r="V3" t="s">
        <v>175</v>
      </c>
      <c r="W3" t="s">
        <v>175</v>
      </c>
      <c r="X3" t="s">
        <v>175</v>
      </c>
      <c r="Y3" t="s">
        <v>175</v>
      </c>
      <c r="Z3" t="s">
        <v>175</v>
      </c>
      <c r="AA3" t="s">
        <v>175</v>
      </c>
      <c r="AB3" t="s">
        <v>175</v>
      </c>
      <c r="AC3" t="s">
        <v>175</v>
      </c>
      <c r="AD3" t="s">
        <v>175</v>
      </c>
      <c r="AE3" t="s">
        <v>175</v>
      </c>
      <c r="AF3" t="s">
        <v>175</v>
      </c>
      <c r="AG3" t="s">
        <v>175</v>
      </c>
      <c r="AH3" t="s">
        <v>175</v>
      </c>
    </row>
    <row r="4" spans="1:34" x14ac:dyDescent="0.35">
      <c r="A4" t="str">
        <f>Events!B4</f>
        <v>MúsikTilraunir</v>
      </c>
      <c r="B4" t="str">
        <f>Events!J4</f>
        <v>1.5.2024</v>
      </c>
    </row>
    <row r="5" spans="1:34" x14ac:dyDescent="0.35">
      <c r="A5" t="str">
        <f>Events!B5</f>
        <v>MúsikTilraunir</v>
      </c>
      <c r="B5" t="str">
        <f>Events!J5</f>
        <v>2.5.2024</v>
      </c>
    </row>
    <row r="6" spans="1:34" x14ac:dyDescent="0.35">
      <c r="A6" t="str">
        <f>Events!B6</f>
        <v>MúsikTilraunir</v>
      </c>
      <c r="B6" t="str">
        <f>Events!J6</f>
        <v>3.5.2024</v>
      </c>
      <c r="C6" t="s">
        <v>175</v>
      </c>
    </row>
    <row r="7" spans="1:34" x14ac:dyDescent="0.35">
      <c r="A7" t="str">
        <f>Events!B7</f>
        <v>Krakka Sinfó</v>
      </c>
      <c r="B7" t="str">
        <f>Events!J7</f>
        <v>4.5.2024</v>
      </c>
    </row>
    <row r="8" spans="1:34" x14ac:dyDescent="0.35">
      <c r="A8" t="str">
        <f>Events!B8</f>
        <v xml:space="preserve">How to </v>
      </c>
      <c r="B8" t="str">
        <f>Events!J8</f>
        <v>4.5.2024</v>
      </c>
      <c r="L8" t="s">
        <v>175</v>
      </c>
    </row>
    <row r="9" spans="1:34" x14ac:dyDescent="0.35">
      <c r="A9" t="str">
        <f>Events!B9</f>
        <v>Sígildir</v>
      </c>
      <c r="B9" t="str">
        <f>Events!J9</f>
        <v>5.5.2024</v>
      </c>
      <c r="D9" t="s">
        <v>175</v>
      </c>
      <c r="M9" t="s">
        <v>175</v>
      </c>
    </row>
    <row r="10" spans="1:34" x14ac:dyDescent="0.35">
      <c r="A10" t="str">
        <f>Events!B10</f>
        <v>K&amp;B</v>
      </c>
      <c r="B10" t="str">
        <f>Events!J10</f>
        <v>5.5.2024</v>
      </c>
    </row>
    <row r="11" spans="1:34" x14ac:dyDescent="0.35">
      <c r="A11" t="str">
        <f>Events!B11</f>
        <v>Múlinn</v>
      </c>
      <c r="B11" t="str">
        <f>Events!J11</f>
        <v>8.5.2024</v>
      </c>
      <c r="C11" t="s">
        <v>175</v>
      </c>
    </row>
    <row r="12" spans="1:34" x14ac:dyDescent="0.35">
      <c r="A12" t="str">
        <f>Events!B12</f>
        <v>Sinfó</v>
      </c>
      <c r="B12" t="str">
        <f>Events!J12</f>
        <v>9.5.2024</v>
      </c>
    </row>
    <row r="13" spans="1:34" x14ac:dyDescent="0.35">
      <c r="A13" t="str">
        <f>Events!B13</f>
        <v>ABBA</v>
      </c>
      <c r="B13" t="str">
        <f>Events!J13</f>
        <v>10.5.2024</v>
      </c>
      <c r="G13" t="s">
        <v>175</v>
      </c>
      <c r="M13" t="s">
        <v>175</v>
      </c>
    </row>
    <row r="14" spans="1:34" x14ac:dyDescent="0.35">
      <c r="A14" t="str">
        <f>Events!B14</f>
        <v>Gusgus</v>
      </c>
      <c r="B14" t="str">
        <f>Events!J14</f>
        <v>11.05.2024</v>
      </c>
      <c r="D14" t="s">
        <v>175</v>
      </c>
    </row>
    <row r="15" spans="1:34" x14ac:dyDescent="0.35">
      <c r="A15" t="str">
        <f>Events!B15</f>
        <v xml:space="preserve">How to </v>
      </c>
      <c r="B15" t="str">
        <f>Events!J15</f>
        <v>11.05.2024</v>
      </c>
    </row>
    <row r="16" spans="1:34" x14ac:dyDescent="0.35">
      <c r="A16" t="str">
        <f>Events!B16</f>
        <v>Vitringar</v>
      </c>
      <c r="B16" t="str">
        <f>Events!J16</f>
        <v>12.05.2024</v>
      </c>
      <c r="F16" t="s">
        <v>175</v>
      </c>
      <c r="I16" t="s">
        <v>175</v>
      </c>
      <c r="K16" t="s">
        <v>175</v>
      </c>
    </row>
    <row r="17" spans="1:14" x14ac:dyDescent="0.35">
      <c r="A17" t="str">
        <f>Events!B17</f>
        <v>Sígildir</v>
      </c>
      <c r="B17" t="str">
        <f>Events!J17</f>
        <v>12.05.2024</v>
      </c>
    </row>
    <row r="18" spans="1:14" x14ac:dyDescent="0.35">
      <c r="A18" t="str">
        <f>Events!B18</f>
        <v>Fatahengi</v>
      </c>
      <c r="B18" t="str">
        <f>Events!J18</f>
        <v>13.05.2024</v>
      </c>
      <c r="L18" t="s">
        <v>175</v>
      </c>
    </row>
    <row r="19" spans="1:14" x14ac:dyDescent="0.35">
      <c r="A19" t="str">
        <f>Events!B19</f>
        <v>Fatahengi</v>
      </c>
      <c r="B19" t="str">
        <f>Events!J19</f>
        <v>14.05.2024</v>
      </c>
      <c r="E19" t="s">
        <v>175</v>
      </c>
    </row>
    <row r="20" spans="1:14" x14ac:dyDescent="0.35">
      <c r="A20" t="str">
        <f>Events!B20</f>
        <v>Sinfó</v>
      </c>
      <c r="B20" t="str">
        <f>Events!J20</f>
        <v>16.05.2024</v>
      </c>
    </row>
    <row r="21" spans="1:14" x14ac:dyDescent="0.35">
      <c r="A21" t="str">
        <f>Events!B21</f>
        <v xml:space="preserve">How to </v>
      </c>
      <c r="B21" t="str">
        <f>Events!J21</f>
        <v>17.05.2024</v>
      </c>
    </row>
    <row r="22" spans="1:14" x14ac:dyDescent="0.35">
      <c r="A22" t="str">
        <f>Events!B22</f>
        <v>Abba</v>
      </c>
      <c r="B22" t="str">
        <f>Events!J22</f>
        <v>18.05.2024</v>
      </c>
      <c r="K22" t="s">
        <v>175</v>
      </c>
    </row>
    <row r="23" spans="1:14" x14ac:dyDescent="0.35">
      <c r="A23" t="str">
        <f>Events!B23</f>
        <v>Sígildir</v>
      </c>
      <c r="B23" t="str">
        <f>Events!J23</f>
        <v>19.05.2024</v>
      </c>
    </row>
    <row r="24" spans="1:14" x14ac:dyDescent="0.35">
      <c r="A24" t="str">
        <f>Events!B24</f>
        <v>Upprás</v>
      </c>
      <c r="B24" t="str">
        <f>Events!J24</f>
        <v>19.05.2024</v>
      </c>
      <c r="E24" t="s">
        <v>175</v>
      </c>
      <c r="H24" t="s">
        <v>175</v>
      </c>
    </row>
    <row r="25" spans="1:14" x14ac:dyDescent="0.35">
      <c r="A25" t="str">
        <f>Events!B25</f>
        <v>Krakka Sinfó</v>
      </c>
      <c r="B25" t="str">
        <f>Events!J25</f>
        <v>20.05.2024</v>
      </c>
      <c r="N25" t="s">
        <v>175</v>
      </c>
    </row>
    <row r="26" spans="1:14" x14ac:dyDescent="0.35">
      <c r="A26" t="str">
        <f>Events!B26</f>
        <v>Múlinn</v>
      </c>
      <c r="B26" t="str">
        <f>Events!J26</f>
        <v>23.05.2024</v>
      </c>
    </row>
    <row r="27" spans="1:14" x14ac:dyDescent="0.35">
      <c r="A27" t="str">
        <f>Events!B27</f>
        <v>Fatahengi</v>
      </c>
      <c r="B27" t="str">
        <f>Events!J27</f>
        <v>24.05.2024</v>
      </c>
      <c r="N27" t="s">
        <v>175</v>
      </c>
    </row>
    <row r="28" spans="1:14" x14ac:dyDescent="0.35">
      <c r="A28" t="str">
        <f>Events!B28</f>
        <v>Maxi</v>
      </c>
      <c r="B28" t="str">
        <f>Events!J28</f>
        <v>25.05.2024</v>
      </c>
      <c r="I28" t="s">
        <v>175</v>
      </c>
    </row>
    <row r="29" spans="1:14" x14ac:dyDescent="0.35">
      <c r="A29" t="str">
        <f>Events!B29</f>
        <v>Krakka Sinfó</v>
      </c>
      <c r="B29" t="str">
        <f>Events!J29</f>
        <v>26.05.2024</v>
      </c>
    </row>
    <row r="30" spans="1:14" x14ac:dyDescent="0.35">
      <c r="A30" t="str">
        <f>Events!B30</f>
        <v>Múlinn</v>
      </c>
      <c r="B30" t="str">
        <f>Events!J30</f>
        <v>30.05.2024</v>
      </c>
    </row>
    <row r="31" spans="1:14" x14ac:dyDescent="0.35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0"/>
  <sheetViews>
    <sheetView topLeftCell="A8" zoomScale="84" workbookViewId="0">
      <selection activeCell="C20" sqref="C20"/>
    </sheetView>
  </sheetViews>
  <sheetFormatPr defaultRowHeight="14.5" x14ac:dyDescent="0.35"/>
  <cols>
    <col min="1" max="1" width="18.90625" bestFit="1" customWidth="1"/>
  </cols>
  <sheetData>
    <row r="1" spans="1:5" x14ac:dyDescent="0.35">
      <c r="A1" s="2" t="s">
        <v>163</v>
      </c>
      <c r="B1" s="2" t="s">
        <v>164</v>
      </c>
      <c r="C1" s="2" t="s">
        <v>165</v>
      </c>
    </row>
    <row r="2" spans="1:5" x14ac:dyDescent="0.35">
      <c r="A2" t="s">
        <v>166</v>
      </c>
      <c r="B2">
        <v>0</v>
      </c>
      <c r="C2">
        <v>50</v>
      </c>
    </row>
    <row r="3" spans="1:5" x14ac:dyDescent="0.35">
      <c r="A3" t="s">
        <v>166</v>
      </c>
      <c r="B3">
        <v>1</v>
      </c>
      <c r="C3">
        <v>30</v>
      </c>
    </row>
    <row r="4" spans="1:5" x14ac:dyDescent="0.35">
      <c r="A4" t="s">
        <v>166</v>
      </c>
      <c r="B4">
        <v>2</v>
      </c>
      <c r="C4">
        <v>15</v>
      </c>
    </row>
    <row r="5" spans="1:5" x14ac:dyDescent="0.35">
      <c r="A5" t="s">
        <v>166</v>
      </c>
      <c r="B5">
        <v>3</v>
      </c>
      <c r="C5">
        <v>-10</v>
      </c>
    </row>
    <row r="6" spans="1:5" x14ac:dyDescent="0.35">
      <c r="A6" t="s">
        <v>166</v>
      </c>
      <c r="B6">
        <v>4</v>
      </c>
      <c r="C6">
        <v>-50</v>
      </c>
    </row>
    <row r="7" spans="1:5" x14ac:dyDescent="0.35">
      <c r="A7" t="s">
        <v>167</v>
      </c>
      <c r="B7">
        <v>0</v>
      </c>
      <c r="C7">
        <v>50</v>
      </c>
      <c r="E7" s="6"/>
    </row>
    <row r="8" spans="1:5" x14ac:dyDescent="0.35">
      <c r="A8" t="s">
        <v>167</v>
      </c>
      <c r="B8">
        <v>1</v>
      </c>
      <c r="C8">
        <v>25</v>
      </c>
    </row>
    <row r="9" spans="1:5" x14ac:dyDescent="0.35">
      <c r="A9" t="s">
        <v>167</v>
      </c>
      <c r="B9">
        <v>2</v>
      </c>
      <c r="C9">
        <v>0</v>
      </c>
    </row>
    <row r="10" spans="1:5" x14ac:dyDescent="0.35">
      <c r="A10" t="s">
        <v>167</v>
      </c>
      <c r="B10">
        <v>3</v>
      </c>
      <c r="C10">
        <v>-25</v>
      </c>
    </row>
    <row r="11" spans="1:5" x14ac:dyDescent="0.35">
      <c r="A11" t="s">
        <v>167</v>
      </c>
      <c r="B11">
        <v>4</v>
      </c>
      <c r="C11">
        <v>-50</v>
      </c>
    </row>
    <row r="12" spans="1:5" x14ac:dyDescent="0.35">
      <c r="A12" t="s">
        <v>167</v>
      </c>
      <c r="B12">
        <v>5</v>
      </c>
      <c r="C12">
        <v>-60</v>
      </c>
    </row>
    <row r="13" spans="1:5" x14ac:dyDescent="0.35">
      <c r="A13" t="s">
        <v>31</v>
      </c>
      <c r="B13">
        <v>1</v>
      </c>
      <c r="C13">
        <v>20</v>
      </c>
    </row>
    <row r="14" spans="1:5" x14ac:dyDescent="0.35">
      <c r="A14" t="s">
        <v>31</v>
      </c>
      <c r="B14">
        <v>2</v>
      </c>
      <c r="C14">
        <v>10</v>
      </c>
    </row>
    <row r="15" spans="1:5" x14ac:dyDescent="0.35">
      <c r="A15" t="s">
        <v>31</v>
      </c>
      <c r="B15">
        <v>3</v>
      </c>
      <c r="C15">
        <v>0</v>
      </c>
    </row>
    <row r="16" spans="1:5" x14ac:dyDescent="0.35">
      <c r="A16" t="s">
        <v>31</v>
      </c>
      <c r="B16">
        <v>4</v>
      </c>
      <c r="C16">
        <v>-10</v>
      </c>
    </row>
    <row r="17" spans="1:3" x14ac:dyDescent="0.35">
      <c r="A17" t="s">
        <v>31</v>
      </c>
      <c r="B17">
        <v>5</v>
      </c>
      <c r="C17">
        <v>-20</v>
      </c>
    </row>
    <row r="18" spans="1:3" x14ac:dyDescent="0.35">
      <c r="A18" t="s">
        <v>31</v>
      </c>
      <c r="B18">
        <v>5</v>
      </c>
      <c r="C18">
        <v>-20</v>
      </c>
    </row>
    <row r="19" spans="1:3" x14ac:dyDescent="0.35">
      <c r="A19" t="s">
        <v>168</v>
      </c>
      <c r="B19">
        <v>0</v>
      </c>
      <c r="C19">
        <v>0</v>
      </c>
    </row>
    <row r="20" spans="1:3" x14ac:dyDescent="0.35">
      <c r="A20" t="s">
        <v>168</v>
      </c>
      <c r="B20">
        <v>1</v>
      </c>
      <c r="C20">
        <v>-10</v>
      </c>
    </row>
    <row r="21" spans="1:3" x14ac:dyDescent="0.35">
      <c r="A21" t="s">
        <v>168</v>
      </c>
      <c r="B21">
        <v>2</v>
      </c>
      <c r="C21">
        <v>-20</v>
      </c>
    </row>
    <row r="22" spans="1:3" x14ac:dyDescent="0.35">
      <c r="A22" t="s">
        <v>168</v>
      </c>
      <c r="B22">
        <v>3</v>
      </c>
      <c r="C22">
        <v>-40</v>
      </c>
    </row>
    <row r="23" spans="1:3" x14ac:dyDescent="0.35">
      <c r="A23" t="s">
        <v>168</v>
      </c>
      <c r="B23">
        <v>4</v>
      </c>
      <c r="C23">
        <v>-80</v>
      </c>
    </row>
    <row r="24" spans="1:3" x14ac:dyDescent="0.35">
      <c r="A24" t="s">
        <v>168</v>
      </c>
      <c r="B24">
        <v>5</v>
      </c>
      <c r="C24">
        <v>-160</v>
      </c>
    </row>
    <row r="25" spans="1:3" x14ac:dyDescent="0.35">
      <c r="A25" t="s">
        <v>169</v>
      </c>
      <c r="B25">
        <v>1</v>
      </c>
      <c r="C25">
        <v>-1</v>
      </c>
    </row>
    <row r="26" spans="1:3" x14ac:dyDescent="0.35">
      <c r="A26" t="s">
        <v>169</v>
      </c>
      <c r="B26">
        <v>2</v>
      </c>
      <c r="C26">
        <f>+C25*2</f>
        <v>-2</v>
      </c>
    </row>
    <row r="27" spans="1:3" x14ac:dyDescent="0.35">
      <c r="A27" t="s">
        <v>169</v>
      </c>
      <c r="B27">
        <v>3</v>
      </c>
      <c r="C27">
        <f>+C26*2</f>
        <v>-4</v>
      </c>
    </row>
    <row r="28" spans="1:3" x14ac:dyDescent="0.35">
      <c r="A28" t="s">
        <v>169</v>
      </c>
      <c r="B28">
        <v>4</v>
      </c>
      <c r="C28">
        <f>+C27*2</f>
        <v>-8</v>
      </c>
    </row>
    <row r="29" spans="1:3" x14ac:dyDescent="0.35">
      <c r="A29" t="s">
        <v>170</v>
      </c>
      <c r="B29">
        <v>1</v>
      </c>
      <c r="C29">
        <v>-50</v>
      </c>
    </row>
    <row r="30" spans="1:3" x14ac:dyDescent="0.35">
      <c r="A30" t="s">
        <v>176</v>
      </c>
      <c r="B30">
        <v>1</v>
      </c>
      <c r="C30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C2" sqref="C2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2" t="s">
        <v>171</v>
      </c>
      <c r="B1" s="2" t="s">
        <v>172</v>
      </c>
      <c r="C1" s="2" t="s">
        <v>165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60</v>
      </c>
      <c r="B1" s="7"/>
      <c r="C1" s="7"/>
    </row>
    <row r="2" spans="1:3" x14ac:dyDescent="0.35">
      <c r="A2" t="s">
        <v>61</v>
      </c>
      <c r="B2" t="s">
        <v>62</v>
      </c>
      <c r="C2">
        <v>50</v>
      </c>
    </row>
    <row r="3" spans="1:3" x14ac:dyDescent="0.35">
      <c r="B3" t="s">
        <v>63</v>
      </c>
      <c r="C3">
        <v>30</v>
      </c>
    </row>
    <row r="4" spans="1:3" x14ac:dyDescent="0.35">
      <c r="B4" t="s">
        <v>64</v>
      </c>
      <c r="C4">
        <v>15</v>
      </c>
    </row>
    <row r="5" spans="1:3" x14ac:dyDescent="0.35">
      <c r="B5" t="s">
        <v>65</v>
      </c>
      <c r="C5">
        <v>-10</v>
      </c>
    </row>
    <row r="6" spans="1:3" x14ac:dyDescent="0.35">
      <c r="B6" t="s">
        <v>66</v>
      </c>
      <c r="C6">
        <v>-50</v>
      </c>
    </row>
    <row r="8" spans="1:3" x14ac:dyDescent="0.35">
      <c r="A8" t="s">
        <v>67</v>
      </c>
      <c r="B8" t="s">
        <v>68</v>
      </c>
      <c r="C8">
        <v>50</v>
      </c>
    </row>
    <row r="9" spans="1:3" x14ac:dyDescent="0.35">
      <c r="B9" t="s">
        <v>69</v>
      </c>
      <c r="C9">
        <v>25</v>
      </c>
    </row>
    <row r="10" spans="1:3" x14ac:dyDescent="0.35">
      <c r="B10" t="s">
        <v>70</v>
      </c>
      <c r="C10">
        <v>0</v>
      </c>
    </row>
    <row r="11" spans="1:3" x14ac:dyDescent="0.35">
      <c r="B11" t="s">
        <v>71</v>
      </c>
      <c r="C11">
        <v>-25</v>
      </c>
    </row>
    <row r="12" spans="1:3" x14ac:dyDescent="0.35">
      <c r="B12" t="s">
        <v>72</v>
      </c>
      <c r="C12">
        <v>-50</v>
      </c>
    </row>
    <row r="14" spans="1:3" x14ac:dyDescent="0.35">
      <c r="A14" t="s">
        <v>73</v>
      </c>
      <c r="B14" t="s">
        <v>74</v>
      </c>
      <c r="C14">
        <v>20</v>
      </c>
    </row>
    <row r="15" spans="1:3" x14ac:dyDescent="0.35">
      <c r="B15" t="s">
        <v>75</v>
      </c>
      <c r="C15">
        <v>10</v>
      </c>
    </row>
    <row r="16" spans="1:3" x14ac:dyDescent="0.35">
      <c r="B16" t="s">
        <v>76</v>
      </c>
      <c r="C16">
        <v>0</v>
      </c>
    </row>
    <row r="17" spans="1:3" x14ac:dyDescent="0.35">
      <c r="B17" t="s">
        <v>77</v>
      </c>
      <c r="C17">
        <v>-10</v>
      </c>
    </row>
    <row r="18" spans="1:3" x14ac:dyDescent="0.35">
      <c r="B18" t="s">
        <v>78</v>
      </c>
      <c r="C18">
        <v>-20</v>
      </c>
    </row>
    <row r="20" spans="1:3" x14ac:dyDescent="0.35">
      <c r="A20" t="s">
        <v>79</v>
      </c>
      <c r="B20" t="s">
        <v>80</v>
      </c>
      <c r="C20">
        <v>-10</v>
      </c>
    </row>
    <row r="21" spans="1:3" x14ac:dyDescent="0.35">
      <c r="B21" t="s">
        <v>81</v>
      </c>
      <c r="C21">
        <f>+C20*2</f>
        <v>-20</v>
      </c>
    </row>
    <row r="22" spans="1:3" x14ac:dyDescent="0.35">
      <c r="B22" t="s">
        <v>82</v>
      </c>
      <c r="C22">
        <f>+C21*2</f>
        <v>-40</v>
      </c>
    </row>
    <row r="23" spans="1:3" x14ac:dyDescent="0.35">
      <c r="B23" t="s">
        <v>83</v>
      </c>
      <c r="C23">
        <f>+C22*2</f>
        <v>-80</v>
      </c>
    </row>
    <row r="24" spans="1:3" x14ac:dyDescent="0.35">
      <c r="B24" t="s">
        <v>84</v>
      </c>
      <c r="C24">
        <f>+C23*2</f>
        <v>-160</v>
      </c>
    </row>
    <row r="26" spans="1:3" x14ac:dyDescent="0.35">
      <c r="A26" t="s">
        <v>85</v>
      </c>
      <c r="B26" t="s">
        <v>86</v>
      </c>
      <c r="C26">
        <v>-1</v>
      </c>
    </row>
    <row r="27" spans="1:3" x14ac:dyDescent="0.35">
      <c r="B27" t="s">
        <v>87</v>
      </c>
      <c r="C27">
        <f>+C26*2</f>
        <v>-2</v>
      </c>
    </row>
    <row r="28" spans="1:3" x14ac:dyDescent="0.35">
      <c r="B28" t="s">
        <v>88</v>
      </c>
      <c r="C28">
        <f>+C27*2</f>
        <v>-4</v>
      </c>
    </row>
    <row r="29" spans="1:3" x14ac:dyDescent="0.35">
      <c r="B29" t="s">
        <v>89</v>
      </c>
      <c r="C29">
        <f>+C28*2</f>
        <v>-8</v>
      </c>
    </row>
    <row r="31" spans="1:3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173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174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A8" sqref="A8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179687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158</v>
      </c>
      <c r="C1" s="2" t="s">
        <v>31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37</v>
      </c>
      <c r="B2" t="s">
        <v>159</v>
      </c>
      <c r="C2" t="s">
        <v>34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160</v>
      </c>
      <c r="C3" t="s">
        <v>32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160</v>
      </c>
      <c r="C4" t="s">
        <v>33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38</v>
      </c>
      <c r="B5" t="s">
        <v>162</v>
      </c>
      <c r="C5" t="s">
        <v>32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32</v>
      </c>
      <c r="B6" t="s">
        <v>162</v>
      </c>
      <c r="C6" t="s">
        <v>32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39</v>
      </c>
      <c r="B7" t="s">
        <v>159</v>
      </c>
      <c r="C7" t="s">
        <v>33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45</v>
      </c>
      <c r="B8" t="s">
        <v>161</v>
      </c>
      <c r="C8" t="s">
        <v>35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43</v>
      </c>
      <c r="B9" t="s">
        <v>159</v>
      </c>
      <c r="C9" t="s">
        <v>36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44</v>
      </c>
      <c r="B10" t="s">
        <v>161</v>
      </c>
      <c r="C10" t="s">
        <v>32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35</v>
      </c>
      <c r="B12" t="s">
        <v>162</v>
      </c>
      <c r="C12" t="s">
        <v>35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33</v>
      </c>
      <c r="B13" t="s">
        <v>162</v>
      </c>
      <c r="C13" t="s">
        <v>33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161</v>
      </c>
      <c r="C14" t="s">
        <v>36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36</v>
      </c>
      <c r="B15" t="s">
        <v>162</v>
      </c>
      <c r="C15" t="s">
        <v>36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159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2026-04-06T10:33:52Z</dcterms:modified>
</cp:coreProperties>
</file>