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EDA9CDF7-3B19-4808-9D8A-F4BDFA17DE78}" xr6:coauthVersionLast="47" xr6:coauthVersionMax="47" xr10:uidLastSave="{00000000-0000-0000-0000-000000000000}"/>
  <bookViews>
    <workbookView xWindow="1900" yWindow="1900" windowWidth="14400" windowHeight="8170" firstSheet="1" activeTab="2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H10" i="3"/>
  <c r="H11" i="3"/>
  <c r="H12" i="3"/>
  <c r="H13" i="3"/>
  <c r="H14" i="3"/>
  <c r="H15" i="3"/>
  <c r="H16" i="3"/>
  <c r="H17" i="3"/>
  <c r="H20" i="3"/>
  <c r="H21" i="3"/>
  <c r="H22" i="3"/>
  <c r="H23" i="3"/>
  <c r="H24" i="3"/>
  <c r="H25" i="3"/>
  <c r="H26" i="3"/>
  <c r="H28" i="3"/>
  <c r="H29" i="3"/>
  <c r="H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C27" i="6"/>
  <c r="C28" i="6" s="1"/>
  <c r="C29" i="6" s="1"/>
  <c r="C21" i="6"/>
  <c r="C22" i="6" s="1"/>
  <c r="C23" i="6" s="1"/>
  <c r="C24" i="6" s="1"/>
  <c r="D3" i="3"/>
  <c r="D4" i="3"/>
  <c r="D5" i="3"/>
  <c r="D2" i="3"/>
  <c r="E2" i="3"/>
  <c r="F4" i="3"/>
  <c r="H3" i="3"/>
  <c r="H4" i="3"/>
  <c r="H5" i="3"/>
  <c r="G3" i="3"/>
  <c r="G4" i="3"/>
  <c r="G5" i="3"/>
  <c r="F3" i="3"/>
  <c r="F5" i="3"/>
  <c r="H2" i="3"/>
  <c r="G2" i="3"/>
  <c r="F2" i="3"/>
  <c r="E3" i="3"/>
  <c r="E4" i="3"/>
  <c r="E5" i="3"/>
</calcChain>
</file>

<file path=xl/sharedStrings.xml><?xml version="1.0" encoding="utf-8"?>
<sst xmlns="http://schemas.openxmlformats.org/spreadsheetml/2006/main" count="245" uniqueCount="161">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</sst>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0" fontId="1" fillId="0" borderId="0" xfId="0" applyFont="1" applyAlignment="1">
      <alignment horizontal="center"/>
    </xf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K31"/>
  <sheetViews>
    <sheetView topLeftCell="B1" zoomScale="71" zoomScaleNormal="71" workbookViewId="0">
      <selection activeCell="C27" sqref="C27"/>
    </sheetView>
  </sheetViews>
  <sheetFormatPr defaultRowHeight="14.5" x14ac:dyDescent="0.35"/>
  <cols>
    <col min="2" max="2" width="13.453125" bestFit="1" customWidth="1"/>
    <col min="3" max="4" width="11.81640625" customWidth="1"/>
    <col min="8" max="8" width="10.26953125" bestFit="1" customWidth="1"/>
    <col min="9" max="9" width="10.1796875" bestFit="1" customWidth="1"/>
    <col min="10" max="10" width="10.08984375" bestFit="1" customWidth="1"/>
    <col min="11" max="11" width="9.6328125" bestFit="1" customWidth="1"/>
  </cols>
  <sheetData>
    <row r="1" spans="1:11" x14ac:dyDescent="0.35">
      <c r="A1" s="2" t="s">
        <v>59</v>
      </c>
      <c r="B1" s="2" t="s">
        <v>31</v>
      </c>
      <c r="C1" s="2" t="s">
        <v>53</v>
      </c>
      <c r="D1" s="2" t="s">
        <v>60</v>
      </c>
      <c r="E1" s="2" t="s">
        <v>32</v>
      </c>
      <c r="F1" s="2" t="s">
        <v>54</v>
      </c>
      <c r="G1" s="2" t="s">
        <v>55</v>
      </c>
      <c r="H1" s="2" t="s">
        <v>56</v>
      </c>
      <c r="I1" s="2" t="s">
        <v>41</v>
      </c>
      <c r="J1" s="2" t="s">
        <v>57</v>
      </c>
      <c r="K1" s="2" t="s">
        <v>58</v>
      </c>
    </row>
    <row r="2" spans="1:11" x14ac:dyDescent="0.35">
      <c r="A2">
        <v>1</v>
      </c>
      <c r="B2" t="s">
        <v>102</v>
      </c>
      <c r="C2" t="s">
        <v>34</v>
      </c>
      <c r="D2">
        <f>_xlfn.XLOOKUP(C2,EventTypes!A:A,EventTypes!C:C,"")</f>
        <v>40</v>
      </c>
      <c r="E2" t="str">
        <f>_xlfn.XLOOKUP(C2,EventTypes!A:A,EventTypes!B:B,"")</f>
        <v>KL</v>
      </c>
      <c r="F2">
        <f>_xlfn.XLOOKUP(C2,EventTypes!A:A,EventTypes!D:D,"")</f>
        <v>0</v>
      </c>
      <c r="G2">
        <f>_xlfn.XLOOKUP(C2,EventTypes!A:A,EventTypes!E:E,"")</f>
        <v>1</v>
      </c>
      <c r="H2">
        <f>_xlfn.XLOOKUP(C2,EventTypes!A:A,EventTypes!F:F,"")</f>
        <v>2</v>
      </c>
      <c r="I2" t="s">
        <v>42</v>
      </c>
      <c r="J2" s="1">
        <v>0.625</v>
      </c>
      <c r="K2" s="1">
        <v>0.75</v>
      </c>
    </row>
    <row r="3" spans="1:11" x14ac:dyDescent="0.35">
      <c r="A3">
        <v>2</v>
      </c>
      <c r="B3" t="s">
        <v>43</v>
      </c>
      <c r="C3" t="s">
        <v>34</v>
      </c>
      <c r="D3">
        <f>_xlfn.XLOOKUP(C3,EventTypes!A:A,EventTypes!C:C,"")</f>
        <v>40</v>
      </c>
      <c r="E3" t="str">
        <f>_xlfn.XLOOKUP(C3,EventTypes!A:A,EventTypes!B:B,"")</f>
        <v>KL</v>
      </c>
      <c r="F3">
        <f>_xlfn.XLOOKUP(C3,EventTypes!A:A,EventTypes!D:D,"")</f>
        <v>0</v>
      </c>
      <c r="G3">
        <f>_xlfn.XLOOKUP(C3,EventTypes!A:A,EventTypes!E:E,"")</f>
        <v>1</v>
      </c>
      <c r="H3">
        <f>_xlfn.XLOOKUP(C3,EventTypes!A:A,EventTypes!F:F,"")</f>
        <v>2</v>
      </c>
      <c r="I3" t="s">
        <v>42</v>
      </c>
      <c r="J3" s="1">
        <v>0.79166666666666663</v>
      </c>
      <c r="K3" s="1">
        <v>0.91666666666666663</v>
      </c>
    </row>
    <row r="4" spans="1:11" x14ac:dyDescent="0.35">
      <c r="A4">
        <v>3</v>
      </c>
      <c r="B4" t="s">
        <v>103</v>
      </c>
      <c r="C4" t="s">
        <v>37</v>
      </c>
      <c r="D4">
        <f>_xlfn.XLOOKUP(C4,EventTypes!A:A,EventTypes!C:C,"")</f>
        <v>80</v>
      </c>
      <c r="E4" t="str">
        <f>_xlfn.XLOOKUP(C4,EventTypes!A:A,EventTypes!B:B,"")</f>
        <v>NL</v>
      </c>
      <c r="F4">
        <f>_xlfn.XLOOKUP(C4,EventTypes!A:A,EventTypes!D:D,"")</f>
        <v>1</v>
      </c>
      <c r="G4">
        <f>_xlfn.XLOOKUP(C4,EventTypes!A:A,EventTypes!E:E,"")</f>
        <v>0</v>
      </c>
      <c r="H4">
        <f>_xlfn.XLOOKUP(C4,EventTypes!A:A,EventTypes!F:F,"")</f>
        <v>3</v>
      </c>
      <c r="I4" t="s">
        <v>42</v>
      </c>
      <c r="J4" s="1">
        <v>0.79166666666666663</v>
      </c>
      <c r="K4" s="1">
        <v>0.91666666666666663</v>
      </c>
    </row>
    <row r="5" spans="1:11" x14ac:dyDescent="0.35">
      <c r="A5">
        <v>4</v>
      </c>
      <c r="B5" t="s">
        <v>103</v>
      </c>
      <c r="C5" t="s">
        <v>37</v>
      </c>
      <c r="D5">
        <f>_xlfn.XLOOKUP(C5,EventTypes!A:A,EventTypes!C:C,"")</f>
        <v>80</v>
      </c>
      <c r="E5" t="str">
        <f>_xlfn.XLOOKUP(C5,EventTypes!A:A,EventTypes!B:B,"")</f>
        <v>NL</v>
      </c>
      <c r="F5">
        <f>_xlfn.XLOOKUP(C5,EventTypes!A:A,EventTypes!D:D,"")</f>
        <v>1</v>
      </c>
      <c r="G5">
        <f>_xlfn.XLOOKUP(C5,EventTypes!A:A,EventTypes!E:E,"")</f>
        <v>0</v>
      </c>
      <c r="H5">
        <f>_xlfn.XLOOKUP(C5,EventTypes!A:A,EventTypes!F:F,"")</f>
        <v>3</v>
      </c>
      <c r="I5" t="s">
        <v>47</v>
      </c>
      <c r="J5" s="1">
        <v>0.79166666666666663</v>
      </c>
      <c r="K5" s="1">
        <v>0.91666666666666663</v>
      </c>
    </row>
    <row r="6" spans="1:11" x14ac:dyDescent="0.35">
      <c r="A6">
        <v>5</v>
      </c>
      <c r="B6" t="s">
        <v>103</v>
      </c>
      <c r="C6" t="s">
        <v>34</v>
      </c>
      <c r="D6">
        <f>_xlfn.XLOOKUP(C6,EventTypes!A:A,EventTypes!C:C,"")</f>
        <v>40</v>
      </c>
      <c r="E6" t="str">
        <f>_xlfn.XLOOKUP(C6,EventTypes!A:A,EventTypes!B:B,"")</f>
        <v>KL</v>
      </c>
      <c r="F6">
        <f>_xlfn.XLOOKUP(C6,EventTypes!A:A,EventTypes!D:D,"")</f>
        <v>0</v>
      </c>
      <c r="G6">
        <f>_xlfn.XLOOKUP(C6,EventTypes!A:A,EventTypes!E:E,"")</f>
        <v>1</v>
      </c>
      <c r="H6">
        <f>_xlfn.XLOOKUP(C6,EventTypes!A:A,EventTypes!F:F,"")</f>
        <v>2</v>
      </c>
      <c r="I6" t="s">
        <v>105</v>
      </c>
      <c r="J6" s="1">
        <v>0.79166666666666663</v>
      </c>
      <c r="K6" s="1">
        <v>0.91666666666666663</v>
      </c>
    </row>
    <row r="7" spans="1:11" x14ac:dyDescent="0.35">
      <c r="A7">
        <v>6</v>
      </c>
      <c r="B7" t="s">
        <v>104</v>
      </c>
      <c r="C7" t="s">
        <v>49</v>
      </c>
      <c r="D7">
        <f>_xlfn.XLOOKUP(C7,EventTypes!A:A,EventTypes!C:C,"")</f>
        <v>70</v>
      </c>
      <c r="E7" t="str">
        <f>_xlfn.XLOOKUP(C7,EventTypes!A:A,EventTypes!B:B,"")</f>
        <v>EB</v>
      </c>
      <c r="F7">
        <f>_xlfn.XLOOKUP(C7,EventTypes!A:A,EventTypes!D:D,"")</f>
        <v>1</v>
      </c>
      <c r="G7">
        <f>_xlfn.XLOOKUP(C7,EventTypes!A:A,EventTypes!E:E,"")</f>
        <v>2</v>
      </c>
      <c r="H7">
        <f>_xlfn.XLOOKUP(C7,EventTypes!A:A,EventTypes!F:F,"")</f>
        <v>11</v>
      </c>
      <c r="I7" t="s">
        <v>3</v>
      </c>
      <c r="J7" s="1">
        <v>0.58333333333333337</v>
      </c>
      <c r="K7" s="1">
        <v>0.75</v>
      </c>
    </row>
    <row r="8" spans="1:11" x14ac:dyDescent="0.35">
      <c r="A8">
        <v>7</v>
      </c>
      <c r="B8" t="s">
        <v>43</v>
      </c>
      <c r="C8" t="s">
        <v>40</v>
      </c>
      <c r="D8">
        <f>_xlfn.XLOOKUP(C8,EventTypes!A:A,EventTypes!C:C,"")</f>
        <v>100</v>
      </c>
      <c r="E8" t="str">
        <f>_xlfn.XLOOKUP(C8,EventTypes!A:A,EventTypes!B:B,"")</f>
        <v>KL</v>
      </c>
      <c r="F8">
        <f>_xlfn.XLOOKUP(C8,EventTypes!A:A,EventTypes!D:D,"")</f>
        <v>0</v>
      </c>
      <c r="G8">
        <f>_xlfn.XLOOKUP(C8,EventTypes!A:A,EventTypes!E:E,"")</f>
        <v>0</v>
      </c>
      <c r="H8">
        <f>_xlfn.XLOOKUP(C8,EventTypes!A:A,EventTypes!F:F,"")</f>
        <v>1</v>
      </c>
      <c r="I8" t="s">
        <v>3</v>
      </c>
      <c r="J8" s="1">
        <v>0.75</v>
      </c>
      <c r="K8" s="1">
        <v>0.83333333333333337</v>
      </c>
    </row>
    <row r="9" spans="1:11" x14ac:dyDescent="0.35">
      <c r="A9">
        <v>8</v>
      </c>
      <c r="B9" t="s">
        <v>44</v>
      </c>
      <c r="C9" t="s">
        <v>44</v>
      </c>
      <c r="D9">
        <f>_xlfn.XLOOKUP(C9,EventTypes!A:A,EventTypes!C:C,"")</f>
        <v>80</v>
      </c>
      <c r="E9" t="str">
        <f>_xlfn.XLOOKUP(C9,EventTypes!A:A,EventTypes!B:B,"")</f>
        <v>NL</v>
      </c>
      <c r="F9">
        <f>_xlfn.XLOOKUP(C9,EventTypes!A:A,EventTypes!D:D,"")</f>
        <v>0</v>
      </c>
      <c r="G9">
        <f>_xlfn.XLOOKUP(C9,EventTypes!A:A,EventTypes!E:E,"")</f>
        <v>0</v>
      </c>
      <c r="H9">
        <f>_xlfn.XLOOKUP(C9,EventTypes!A:A,EventTypes!F:F,"")</f>
        <v>1</v>
      </c>
      <c r="I9" t="s">
        <v>4</v>
      </c>
      <c r="J9" s="1">
        <v>0.66666666666666663</v>
      </c>
      <c r="K9" s="1">
        <v>0.83333333333333337</v>
      </c>
    </row>
    <row r="10" spans="1:11" x14ac:dyDescent="0.35">
      <c r="A10">
        <v>9</v>
      </c>
      <c r="B10" t="s">
        <v>106</v>
      </c>
      <c r="C10" t="s">
        <v>50</v>
      </c>
      <c r="D10">
        <f>_xlfn.XLOOKUP(C10,EventTypes!A:A,EventTypes!C:C,"")</f>
        <v>80</v>
      </c>
      <c r="E10" t="str">
        <f>_xlfn.XLOOKUP(C10,EventTypes!A:A,EventTypes!B:B,"")</f>
        <v>KL</v>
      </c>
      <c r="F10">
        <f>_xlfn.XLOOKUP(C10,EventTypes!A:A,EventTypes!D:D,"")</f>
        <v>0</v>
      </c>
      <c r="G10">
        <f>_xlfn.XLOOKUP(C10,EventTypes!A:A,EventTypes!E:E,"")</f>
        <v>1</v>
      </c>
      <c r="H10">
        <f>_xlfn.XLOOKUP(C10,EventTypes!A:A,EventTypes!F:F,"")</f>
        <v>2</v>
      </c>
      <c r="I10" t="s">
        <v>4</v>
      </c>
      <c r="J10" s="1">
        <v>0.5</v>
      </c>
      <c r="K10" s="1">
        <v>0.66666666666666663</v>
      </c>
    </row>
    <row r="11" spans="1:11" x14ac:dyDescent="0.35">
      <c r="A11">
        <v>10</v>
      </c>
      <c r="B11" t="s">
        <v>38</v>
      </c>
      <c r="C11" t="s">
        <v>38</v>
      </c>
      <c r="D11">
        <f>_xlfn.XLOOKUP(C11,EventTypes!A:A,EventTypes!C:C,"")</f>
        <v>90</v>
      </c>
      <c r="E11" t="str">
        <f>_xlfn.XLOOKUP(C11,EventTypes!A:A,EventTypes!B:B,"")</f>
        <v>BL</v>
      </c>
      <c r="F11">
        <f>_xlfn.XLOOKUP(C11,EventTypes!A:A,EventTypes!D:D,"")</f>
        <v>0</v>
      </c>
      <c r="G11">
        <f>_xlfn.XLOOKUP(C11,EventTypes!A:A,EventTypes!E:E,"")</f>
        <v>0</v>
      </c>
      <c r="H11">
        <f>_xlfn.XLOOKUP(C11,EventTypes!A:A,EventTypes!F:F,"")</f>
        <v>1</v>
      </c>
      <c r="I11" t="s">
        <v>7</v>
      </c>
      <c r="J11" s="1">
        <v>0.79166666666666663</v>
      </c>
      <c r="K11" s="1">
        <v>0.91666666666666663</v>
      </c>
    </row>
    <row r="12" spans="1:11" x14ac:dyDescent="0.35">
      <c r="A12">
        <v>11</v>
      </c>
      <c r="B12" t="s">
        <v>39</v>
      </c>
      <c r="C12" t="s">
        <v>39</v>
      </c>
      <c r="D12">
        <f>_xlfn.XLOOKUP(C12,EventTypes!A:A,EventTypes!C:C,"")</f>
        <v>50</v>
      </c>
      <c r="E12" t="str">
        <f>_xlfn.XLOOKUP(C12,EventTypes!A:A,EventTypes!B:B,"")</f>
        <v>EB</v>
      </c>
      <c r="F12">
        <f>_xlfn.XLOOKUP(C12,EventTypes!A:A,EventTypes!D:D,"")</f>
        <v>1</v>
      </c>
      <c r="G12">
        <f>_xlfn.XLOOKUP(C12,EventTypes!A:A,EventTypes!E:E,"")</f>
        <v>3</v>
      </c>
      <c r="H12">
        <f>_xlfn.XLOOKUP(C12,EventTypes!A:A,EventTypes!F:F,"")</f>
        <v>11</v>
      </c>
      <c r="I12" t="s">
        <v>8</v>
      </c>
      <c r="J12" s="1">
        <v>0.77083333333333337</v>
      </c>
      <c r="K12" s="1">
        <v>0.91666666666666663</v>
      </c>
    </row>
    <row r="13" spans="1:11" x14ac:dyDescent="0.35">
      <c r="A13">
        <v>12</v>
      </c>
      <c r="B13" t="s">
        <v>107</v>
      </c>
      <c r="C13" t="s">
        <v>33</v>
      </c>
      <c r="D13">
        <f>_xlfn.XLOOKUP(C13,EventTypes!A:A,EventTypes!C:C,"")</f>
        <v>70</v>
      </c>
      <c r="E13" t="str">
        <f>_xlfn.XLOOKUP(C13,EventTypes!A:A,EventTypes!B:B,"")</f>
        <v>EB</v>
      </c>
      <c r="F13">
        <f>_xlfn.XLOOKUP(C13,EventTypes!A:A,EventTypes!D:D,"")</f>
        <v>1</v>
      </c>
      <c r="G13">
        <f>_xlfn.XLOOKUP(C13,EventTypes!A:A,EventTypes!E:E,"")</f>
        <v>4</v>
      </c>
      <c r="H13">
        <f>_xlfn.XLOOKUP(C13,EventTypes!A:A,EventTypes!F:F,"")</f>
        <v>11</v>
      </c>
      <c r="I13" t="s">
        <v>9</v>
      </c>
      <c r="J13" s="1">
        <v>0.79166666666666663</v>
      </c>
      <c r="K13" s="1">
        <v>0.95833333333333337</v>
      </c>
    </row>
    <row r="14" spans="1:11" x14ac:dyDescent="0.35">
      <c r="A14">
        <v>13</v>
      </c>
      <c r="B14" t="s">
        <v>142</v>
      </c>
      <c r="C14" t="s">
        <v>45</v>
      </c>
      <c r="D14">
        <f>_xlfn.XLOOKUP(C14,EventTypes!A:A,EventTypes!C:C,"")</f>
        <v>50</v>
      </c>
      <c r="E14" t="str">
        <f>_xlfn.XLOOKUP(C14,EventTypes!A:A,EventTypes!B:B,"")</f>
        <v>EB</v>
      </c>
      <c r="F14">
        <f>_xlfn.XLOOKUP(C14,EventTypes!A:A,EventTypes!D:D,"")</f>
        <v>1</v>
      </c>
      <c r="G14">
        <f>_xlfn.XLOOKUP(C14,EventTypes!A:A,EventTypes!E:E,"")</f>
        <v>6</v>
      </c>
      <c r="H14">
        <f>_xlfn.XLOOKUP(C14,EventTypes!A:A,EventTypes!F:F,"")</f>
        <v>11</v>
      </c>
      <c r="I14" t="s">
        <v>146</v>
      </c>
      <c r="J14" s="1">
        <v>0.83333333333333337</v>
      </c>
      <c r="K14" s="1">
        <v>0</v>
      </c>
    </row>
    <row r="15" spans="1:11" x14ac:dyDescent="0.35">
      <c r="A15">
        <v>14</v>
      </c>
      <c r="B15" t="s">
        <v>43</v>
      </c>
      <c r="C15" t="s">
        <v>40</v>
      </c>
      <c r="D15">
        <f>_xlfn.XLOOKUP(C15,EventTypes!A:A,EventTypes!C:C,"")</f>
        <v>100</v>
      </c>
      <c r="E15" t="str">
        <f>_xlfn.XLOOKUP(C15,EventTypes!A:A,EventTypes!B:B,"")</f>
        <v>KL</v>
      </c>
      <c r="F15">
        <f>_xlfn.XLOOKUP(C15,EventTypes!A:A,EventTypes!D:D,"")</f>
        <v>0</v>
      </c>
      <c r="G15">
        <f>_xlfn.XLOOKUP(C15,EventTypes!A:A,EventTypes!E:E,"")</f>
        <v>0</v>
      </c>
      <c r="H15">
        <f>_xlfn.XLOOKUP(C15,EventTypes!A:A,EventTypes!F:F,"")</f>
        <v>1</v>
      </c>
      <c r="I15" t="s">
        <v>146</v>
      </c>
      <c r="J15" s="1">
        <v>0.66666666666666663</v>
      </c>
      <c r="K15" s="1">
        <v>0.70833333333333337</v>
      </c>
    </row>
    <row r="16" spans="1:11" x14ac:dyDescent="0.35">
      <c r="A16">
        <v>15</v>
      </c>
      <c r="B16" t="s">
        <v>143</v>
      </c>
      <c r="C16" t="s">
        <v>33</v>
      </c>
      <c r="D16">
        <f>_xlfn.XLOOKUP(C16,EventTypes!A:A,EventTypes!C:C,"")</f>
        <v>70</v>
      </c>
      <c r="E16" t="str">
        <f>_xlfn.XLOOKUP(C16,EventTypes!A:A,EventTypes!B:B,"")</f>
        <v>EB</v>
      </c>
      <c r="F16">
        <f>_xlfn.XLOOKUP(C16,EventTypes!A:A,EventTypes!D:D,"")</f>
        <v>1</v>
      </c>
      <c r="G16">
        <f>_xlfn.XLOOKUP(C16,EventTypes!A:A,EventTypes!E:E,"")</f>
        <v>4</v>
      </c>
      <c r="H16">
        <f>_xlfn.XLOOKUP(C16,EventTypes!A:A,EventTypes!F:F,"")</f>
        <v>11</v>
      </c>
      <c r="I16" t="s">
        <v>147</v>
      </c>
      <c r="J16" s="1">
        <v>0.75</v>
      </c>
      <c r="K16" s="1">
        <v>0.875</v>
      </c>
    </row>
    <row r="17" spans="1:11" x14ac:dyDescent="0.35">
      <c r="A17">
        <v>16</v>
      </c>
      <c r="B17" t="s">
        <v>44</v>
      </c>
      <c r="C17" t="s">
        <v>44</v>
      </c>
      <c r="D17">
        <f>_xlfn.XLOOKUP(C17,EventTypes!A:A,EventTypes!C:C,"")</f>
        <v>80</v>
      </c>
      <c r="E17" t="str">
        <f>_xlfn.XLOOKUP(C17,EventTypes!A:A,EventTypes!B:B,"")</f>
        <v>NL</v>
      </c>
      <c r="F17">
        <f>_xlfn.XLOOKUP(C17,EventTypes!A:A,EventTypes!D:D,"")</f>
        <v>0</v>
      </c>
      <c r="G17">
        <f>_xlfn.XLOOKUP(C17,EventTypes!A:A,EventTypes!E:E,"")</f>
        <v>0</v>
      </c>
      <c r="H17">
        <f>_xlfn.XLOOKUP(C17,EventTypes!A:A,EventTypes!F:F,"")</f>
        <v>1</v>
      </c>
      <c r="I17" t="s">
        <v>147</v>
      </c>
      <c r="J17" s="1">
        <v>0.79166666666666663</v>
      </c>
      <c r="K17" s="1">
        <v>0.91666666666666663</v>
      </c>
    </row>
    <row r="18" spans="1:11" x14ac:dyDescent="0.35">
      <c r="A18">
        <v>17</v>
      </c>
      <c r="B18" t="s">
        <v>48</v>
      </c>
      <c r="C18" t="s">
        <v>48</v>
      </c>
      <c r="D18">
        <f>_xlfn.XLOOKUP(C18,EventTypes!A:A,EventTypes!C:C,"")</f>
        <v>100</v>
      </c>
      <c r="E18" t="str">
        <f>_xlfn.XLOOKUP(C18,EventTypes!A:A,EventTypes!B:B,"")</f>
        <v>Fatahengi</v>
      </c>
      <c r="F18">
        <f>_xlfn.XLOOKUP(C18,EventTypes!A:A,EventTypes!D:D,"")</f>
        <v>0</v>
      </c>
      <c r="G18">
        <f>_xlfn.XLOOKUP(C18,EventTypes!A:A,EventTypes!E:E,"")</f>
        <v>0</v>
      </c>
      <c r="H18">
        <v>2</v>
      </c>
      <c r="I18" s="1" t="s">
        <v>148</v>
      </c>
      <c r="J18" s="1">
        <v>0.77083333333333337</v>
      </c>
      <c r="K18" s="1">
        <v>0.95833333333333337</v>
      </c>
    </row>
    <row r="19" spans="1:11" x14ac:dyDescent="0.35">
      <c r="A19">
        <v>18</v>
      </c>
      <c r="B19" t="s">
        <v>48</v>
      </c>
      <c r="C19" t="s">
        <v>48</v>
      </c>
      <c r="D19">
        <f>_xlfn.XLOOKUP(C19,EventTypes!A:A,EventTypes!C:C,"")</f>
        <v>100</v>
      </c>
      <c r="E19" t="str">
        <f>_xlfn.XLOOKUP(C19,EventTypes!A:A,EventTypes!B:B,"")</f>
        <v>Fatahengi</v>
      </c>
      <c r="F19">
        <f>_xlfn.XLOOKUP(C19,EventTypes!A:A,EventTypes!D:D,"")</f>
        <v>0</v>
      </c>
      <c r="G19">
        <f>_xlfn.XLOOKUP(C19,EventTypes!A:A,EventTypes!E:E,"")</f>
        <v>0</v>
      </c>
      <c r="H19">
        <v>1</v>
      </c>
      <c r="I19" t="s">
        <v>149</v>
      </c>
      <c r="J19" s="1">
        <v>0.77083333333333337</v>
      </c>
      <c r="K19" s="1">
        <v>0.95833333333333337</v>
      </c>
    </row>
    <row r="20" spans="1:11" x14ac:dyDescent="0.35">
      <c r="A20">
        <v>19</v>
      </c>
      <c r="B20" t="s">
        <v>39</v>
      </c>
      <c r="C20" t="s">
        <v>39</v>
      </c>
      <c r="D20">
        <f>_xlfn.XLOOKUP(C20,EventTypes!A:A,EventTypes!C:C,"")</f>
        <v>50</v>
      </c>
      <c r="E20" t="str">
        <f>_xlfn.XLOOKUP(C20,EventTypes!A:A,EventTypes!B:B,"")</f>
        <v>EB</v>
      </c>
      <c r="F20">
        <f>_xlfn.XLOOKUP(C20,EventTypes!A:A,EventTypes!D:D,"")</f>
        <v>1</v>
      </c>
      <c r="G20">
        <f>_xlfn.XLOOKUP(C20,EventTypes!A:A,EventTypes!E:E,"")</f>
        <v>3</v>
      </c>
      <c r="H20">
        <f>_xlfn.XLOOKUP(C20,EventTypes!A:A,EventTypes!F:F,"")</f>
        <v>11</v>
      </c>
      <c r="I20" t="s">
        <v>150</v>
      </c>
      <c r="J20" s="1">
        <v>0.77083333333333337</v>
      </c>
      <c r="K20" s="1">
        <v>0.91666666666666663</v>
      </c>
    </row>
    <row r="21" spans="1:11" x14ac:dyDescent="0.35">
      <c r="A21">
        <v>20</v>
      </c>
      <c r="B21" t="s">
        <v>43</v>
      </c>
      <c r="C21" t="s">
        <v>40</v>
      </c>
      <c r="D21">
        <f>_xlfn.XLOOKUP(C21,EventTypes!A:A,EventTypes!C:C,"")</f>
        <v>100</v>
      </c>
      <c r="E21" t="str">
        <f>_xlfn.XLOOKUP(C21,EventTypes!A:A,EventTypes!B:B,"")</f>
        <v>KL</v>
      </c>
      <c r="F21">
        <f>_xlfn.XLOOKUP(C21,EventTypes!A:A,EventTypes!D:D,"")</f>
        <v>0</v>
      </c>
      <c r="G21">
        <f>_xlfn.XLOOKUP(C21,EventTypes!A:A,EventTypes!E:E,"")</f>
        <v>0</v>
      </c>
      <c r="H21">
        <f>_xlfn.XLOOKUP(C21,EventTypes!A:A,EventTypes!F:F,"")</f>
        <v>1</v>
      </c>
      <c r="I21" t="s">
        <v>151</v>
      </c>
      <c r="J21" s="1">
        <v>0.79166666666666663</v>
      </c>
      <c r="K21" s="1">
        <v>0.875</v>
      </c>
    </row>
    <row r="22" spans="1:11" x14ac:dyDescent="0.35">
      <c r="A22">
        <v>21</v>
      </c>
      <c r="B22" t="s">
        <v>144</v>
      </c>
      <c r="C22" t="s">
        <v>33</v>
      </c>
      <c r="D22">
        <f>_xlfn.XLOOKUP(C22,EventTypes!A:A,EventTypes!C:C,"")</f>
        <v>70</v>
      </c>
      <c r="E22" t="str">
        <f>_xlfn.XLOOKUP(C22,EventTypes!A:A,EventTypes!B:B,"")</f>
        <v>EB</v>
      </c>
      <c r="F22">
        <f>_xlfn.XLOOKUP(C22,EventTypes!A:A,EventTypes!D:D,"")</f>
        <v>1</v>
      </c>
      <c r="G22">
        <f>_xlfn.XLOOKUP(C22,EventTypes!A:A,EventTypes!E:E,"")</f>
        <v>4</v>
      </c>
      <c r="H22">
        <f>_xlfn.XLOOKUP(C22,EventTypes!A:A,EventTypes!F:F,"")</f>
        <v>11</v>
      </c>
      <c r="I22" t="s">
        <v>152</v>
      </c>
      <c r="J22" s="1">
        <v>0.41666666666666669</v>
      </c>
      <c r="K22" s="1">
        <v>0.54166666666666663</v>
      </c>
    </row>
    <row r="23" spans="1:11" x14ac:dyDescent="0.35">
      <c r="A23">
        <v>22</v>
      </c>
      <c r="B23" t="s">
        <v>44</v>
      </c>
      <c r="C23" t="s">
        <v>44</v>
      </c>
      <c r="D23">
        <f>_xlfn.XLOOKUP(C23,EventTypes!A:A,EventTypes!C:C,"")</f>
        <v>80</v>
      </c>
      <c r="E23" t="str">
        <f>_xlfn.XLOOKUP(C23,EventTypes!A:A,EventTypes!B:B,"")</f>
        <v>NL</v>
      </c>
      <c r="F23">
        <f>_xlfn.XLOOKUP(C23,EventTypes!A:A,EventTypes!D:D,"")</f>
        <v>0</v>
      </c>
      <c r="G23">
        <f>_xlfn.XLOOKUP(C23,EventTypes!A:A,EventTypes!E:E,"")</f>
        <v>0</v>
      </c>
      <c r="H23">
        <f>_xlfn.XLOOKUP(C23,EventTypes!A:A,EventTypes!F:F,"")</f>
        <v>1</v>
      </c>
      <c r="I23" t="s">
        <v>153</v>
      </c>
      <c r="J23" s="1">
        <v>0.5</v>
      </c>
      <c r="K23" s="1">
        <v>0.625</v>
      </c>
    </row>
    <row r="24" spans="1:11" x14ac:dyDescent="0.35">
      <c r="A24">
        <v>23</v>
      </c>
      <c r="B24" t="s">
        <v>102</v>
      </c>
      <c r="C24" t="s">
        <v>34</v>
      </c>
      <c r="D24">
        <f>_xlfn.XLOOKUP(C24,EventTypes!A:A,EventTypes!C:C,"")</f>
        <v>40</v>
      </c>
      <c r="E24" t="str">
        <f>_xlfn.XLOOKUP(C24,EventTypes!A:A,EventTypes!B:B,"")</f>
        <v>KL</v>
      </c>
      <c r="F24">
        <f>_xlfn.XLOOKUP(C24,EventTypes!A:A,EventTypes!D:D,"")</f>
        <v>0</v>
      </c>
      <c r="G24">
        <f>_xlfn.XLOOKUP(C24,EventTypes!A:A,EventTypes!E:E,"")</f>
        <v>1</v>
      </c>
      <c r="H24">
        <f>_xlfn.XLOOKUP(C24,EventTypes!A:A,EventTypes!F:F,"")</f>
        <v>2</v>
      </c>
      <c r="I24" s="3" t="s">
        <v>153</v>
      </c>
      <c r="J24" s="1">
        <v>0.83333333333333337</v>
      </c>
      <c r="K24" s="1">
        <v>0.91666666666666663</v>
      </c>
    </row>
    <row r="25" spans="1:11" x14ac:dyDescent="0.35">
      <c r="A25">
        <v>24</v>
      </c>
      <c r="B25" t="s">
        <v>104</v>
      </c>
      <c r="C25" t="s">
        <v>49</v>
      </c>
      <c r="D25">
        <f>_xlfn.XLOOKUP(C25,EventTypes!A:A,EventTypes!C:C,"")</f>
        <v>70</v>
      </c>
      <c r="E25" t="str">
        <f>_xlfn.XLOOKUP(C25,EventTypes!A:A,EventTypes!B:B,"")</f>
        <v>EB</v>
      </c>
      <c r="F25">
        <f>_xlfn.XLOOKUP(C25,EventTypes!A:A,EventTypes!D:D,"")</f>
        <v>1</v>
      </c>
      <c r="G25">
        <f>_xlfn.XLOOKUP(C25,EventTypes!A:A,EventTypes!E:E,"")</f>
        <v>2</v>
      </c>
      <c r="H25">
        <f>_xlfn.XLOOKUP(C25,EventTypes!A:A,EventTypes!F:F,"")</f>
        <v>11</v>
      </c>
      <c r="I25" t="s">
        <v>154</v>
      </c>
      <c r="J25" s="1">
        <v>0.66666666666666663</v>
      </c>
      <c r="K25" s="1">
        <v>0.77083333333333337</v>
      </c>
    </row>
    <row r="26" spans="1:11" x14ac:dyDescent="0.35">
      <c r="A26">
        <v>25</v>
      </c>
      <c r="B26" t="s">
        <v>145</v>
      </c>
      <c r="C26" t="s">
        <v>50</v>
      </c>
      <c r="D26">
        <f>_xlfn.XLOOKUP(C26,EventTypes!A:A,EventTypes!C:C,"")</f>
        <v>80</v>
      </c>
      <c r="E26" t="str">
        <f>_xlfn.XLOOKUP(C26,EventTypes!A:A,EventTypes!B:B,"")</f>
        <v>KL</v>
      </c>
      <c r="F26">
        <f>_xlfn.XLOOKUP(C26,EventTypes!A:A,EventTypes!D:D,"")</f>
        <v>0</v>
      </c>
      <c r="G26">
        <f>_xlfn.XLOOKUP(C26,EventTypes!A:A,EventTypes!E:E,"")</f>
        <v>1</v>
      </c>
      <c r="H26">
        <f>_xlfn.XLOOKUP(C26,EventTypes!A:A,EventTypes!F:F,"")</f>
        <v>2</v>
      </c>
      <c r="I26" t="s">
        <v>155</v>
      </c>
      <c r="J26" s="1">
        <v>0.625</v>
      </c>
      <c r="K26" s="1">
        <v>0.72916666666666663</v>
      </c>
    </row>
    <row r="27" spans="1:11" x14ac:dyDescent="0.35">
      <c r="A27">
        <v>26</v>
      </c>
      <c r="B27" t="s">
        <v>48</v>
      </c>
      <c r="C27" t="s">
        <v>48</v>
      </c>
      <c r="D27">
        <f>_xlfn.XLOOKUP(C27,EventTypes!A:A,EventTypes!C:C,"")</f>
        <v>100</v>
      </c>
      <c r="E27" t="str">
        <f>_xlfn.XLOOKUP(C27,EventTypes!A:A,EventTypes!B:B,"")</f>
        <v>Fatahengi</v>
      </c>
      <c r="F27">
        <f>_xlfn.XLOOKUP(C27,EventTypes!A:A,EventTypes!D:D,"")</f>
        <v>0</v>
      </c>
      <c r="G27">
        <f>_xlfn.XLOOKUP(C27,EventTypes!A:A,EventTypes!E:E,"")</f>
        <v>0</v>
      </c>
      <c r="H27">
        <v>3</v>
      </c>
      <c r="I27" t="s">
        <v>156</v>
      </c>
      <c r="J27" s="1">
        <v>0.83333333333333337</v>
      </c>
      <c r="K27" s="4">
        <v>0</v>
      </c>
    </row>
    <row r="28" spans="1:11" x14ac:dyDescent="0.35">
      <c r="A28">
        <v>27</v>
      </c>
      <c r="B28" t="s">
        <v>38</v>
      </c>
      <c r="C28" t="s">
        <v>38</v>
      </c>
      <c r="D28">
        <f>_xlfn.XLOOKUP(C28,EventTypes!A:A,EventTypes!C:C,"")</f>
        <v>90</v>
      </c>
      <c r="E28" t="str">
        <f>_xlfn.XLOOKUP(C28,EventTypes!A:A,EventTypes!B:B,"")</f>
        <v>BL</v>
      </c>
      <c r="F28">
        <f>_xlfn.XLOOKUP(C28,EventTypes!A:A,EventTypes!D:D,"")</f>
        <v>0</v>
      </c>
      <c r="G28">
        <f>_xlfn.XLOOKUP(C28,EventTypes!A:A,EventTypes!E:E,"")</f>
        <v>0</v>
      </c>
      <c r="H28">
        <f>_xlfn.XLOOKUP(C28,EventTypes!A:A,EventTypes!F:F,"")</f>
        <v>1</v>
      </c>
      <c r="I28" t="s">
        <v>157</v>
      </c>
      <c r="J28" s="1">
        <v>0.54166666666666663</v>
      </c>
      <c r="K28" s="1">
        <v>0.70833333333333337</v>
      </c>
    </row>
    <row r="29" spans="1:11" x14ac:dyDescent="0.35">
      <c r="A29">
        <v>28</v>
      </c>
      <c r="B29" t="s">
        <v>104</v>
      </c>
      <c r="C29" t="s">
        <v>49</v>
      </c>
      <c r="D29">
        <f>_xlfn.XLOOKUP(C29,EventTypes!A:A,EventTypes!C:C,"")</f>
        <v>70</v>
      </c>
      <c r="E29" t="str">
        <f>_xlfn.XLOOKUP(C29,EventTypes!A:A,EventTypes!B:B,"")</f>
        <v>EB</v>
      </c>
      <c r="F29">
        <f>_xlfn.XLOOKUP(C29,EventTypes!A:A,EventTypes!D:D,"")</f>
        <v>1</v>
      </c>
      <c r="G29">
        <f>_xlfn.XLOOKUP(C29,EventTypes!A:A,EventTypes!E:E,"")</f>
        <v>2</v>
      </c>
      <c r="H29">
        <f>_xlfn.XLOOKUP(C29,EventTypes!A:A,EventTypes!F:F,"")</f>
        <v>11</v>
      </c>
      <c r="I29" t="s">
        <v>158</v>
      </c>
      <c r="J29" s="1">
        <v>0.41666666666666669</v>
      </c>
      <c r="K29" s="1">
        <v>0.52083333333333337</v>
      </c>
    </row>
    <row r="30" spans="1:11" x14ac:dyDescent="0.35">
      <c r="A30">
        <v>29</v>
      </c>
      <c r="B30" t="s">
        <v>38</v>
      </c>
      <c r="C30" t="s">
        <v>38</v>
      </c>
      <c r="D30">
        <f>_xlfn.XLOOKUP(C30,EventTypes!A:A,EventTypes!C:C,"")</f>
        <v>90</v>
      </c>
      <c r="E30" t="str">
        <f>_xlfn.XLOOKUP(C30,EventTypes!A:A,EventTypes!B:B,"")</f>
        <v>BL</v>
      </c>
      <c r="F30">
        <f>_xlfn.XLOOKUP(C30,EventTypes!A:A,EventTypes!D:D,"")</f>
        <v>0</v>
      </c>
      <c r="G30">
        <f>_xlfn.XLOOKUP(C30,EventTypes!A:A,EventTypes!E:E,"")</f>
        <v>0</v>
      </c>
      <c r="H30">
        <f>_xlfn.XLOOKUP(C30,EventTypes!A:A,EventTypes!F:F,"")</f>
        <v>1</v>
      </c>
      <c r="I30" t="s">
        <v>159</v>
      </c>
      <c r="J30" s="1">
        <v>0.70833333333333337</v>
      </c>
      <c r="K30" s="1">
        <v>0.83333333333333337</v>
      </c>
    </row>
    <row r="31" spans="1:11" x14ac:dyDescent="0.35">
      <c r="A31">
        <v>30</v>
      </c>
      <c r="B31" t="s">
        <v>48</v>
      </c>
      <c r="C31" t="s">
        <v>48</v>
      </c>
      <c r="D31">
        <f>_xlfn.XLOOKUP(C31,EventTypes!A:A,EventTypes!C:C,"")</f>
        <v>100</v>
      </c>
      <c r="E31" t="str">
        <f>_xlfn.XLOOKUP(C31,EventTypes!A:A,EventTypes!B:B,"")</f>
        <v>Fatahengi</v>
      </c>
      <c r="F31">
        <f>_xlfn.XLOOKUP(C31,EventTypes!A:A,EventTypes!D:D,"")</f>
        <v>0</v>
      </c>
      <c r="G31">
        <f>_xlfn.XLOOKUP(C31,EventTypes!A:A,EventTypes!E:E,"")</f>
        <v>0</v>
      </c>
      <c r="H31">
        <v>2</v>
      </c>
      <c r="I31" t="s">
        <v>160</v>
      </c>
      <c r="J31" s="1">
        <v>0.75</v>
      </c>
      <c r="K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108</v>
      </c>
      <c r="B1" s="2" t="s">
        <v>109</v>
      </c>
      <c r="C1" s="2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abSelected="1"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108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21</v>
      </c>
      <c r="W1" s="6" t="s">
        <v>20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F16"/>
  <sheetViews>
    <sheetView workbookViewId="0">
      <selection activeCell="B7" sqref="B7"/>
    </sheetView>
  </sheetViews>
  <sheetFormatPr defaultRowHeight="14.5" x14ac:dyDescent="0.35"/>
  <cols>
    <col min="1" max="2" width="11.81640625" customWidth="1"/>
    <col min="3" max="3" width="12.26953125" bestFit="1" customWidth="1"/>
    <col min="4" max="5" width="8.54296875" bestFit="1" customWidth="1"/>
    <col min="6" max="6" width="9.90625" bestFit="1" customWidth="1"/>
  </cols>
  <sheetData>
    <row r="1" spans="1:6" x14ac:dyDescent="0.35">
      <c r="A1" s="2" t="s">
        <v>53</v>
      </c>
      <c r="B1" s="2" t="s">
        <v>32</v>
      </c>
      <c r="C1" s="2" t="s">
        <v>60</v>
      </c>
      <c r="D1" s="2" t="s">
        <v>54</v>
      </c>
      <c r="E1" s="2" t="s">
        <v>55</v>
      </c>
      <c r="F1" s="2" t="s">
        <v>56</v>
      </c>
    </row>
    <row r="2" spans="1:6" x14ac:dyDescent="0.35">
      <c r="A2" t="s">
        <v>38</v>
      </c>
      <c r="B2" t="s">
        <v>35</v>
      </c>
      <c r="C2">
        <v>90</v>
      </c>
      <c r="D2">
        <v>0</v>
      </c>
      <c r="E2">
        <v>0</v>
      </c>
      <c r="F2">
        <v>1</v>
      </c>
    </row>
    <row r="3" spans="1:6" x14ac:dyDescent="0.35">
      <c r="A3" t="s">
        <v>49</v>
      </c>
      <c r="B3" t="s">
        <v>33</v>
      </c>
      <c r="C3">
        <v>70</v>
      </c>
      <c r="D3">
        <v>1</v>
      </c>
      <c r="E3">
        <v>2</v>
      </c>
      <c r="F3">
        <v>11</v>
      </c>
    </row>
    <row r="4" spans="1:6" x14ac:dyDescent="0.35">
      <c r="A4" t="s">
        <v>50</v>
      </c>
      <c r="B4" t="s">
        <v>34</v>
      </c>
      <c r="C4">
        <v>80</v>
      </c>
      <c r="D4">
        <v>0</v>
      </c>
      <c r="E4">
        <v>1</v>
      </c>
      <c r="F4">
        <v>2</v>
      </c>
    </row>
    <row r="5" spans="1:6" x14ac:dyDescent="0.35">
      <c r="A5" t="s">
        <v>39</v>
      </c>
      <c r="B5" t="s">
        <v>33</v>
      </c>
      <c r="C5">
        <v>50</v>
      </c>
      <c r="D5">
        <v>1</v>
      </c>
      <c r="E5">
        <v>3</v>
      </c>
      <c r="F5">
        <v>11</v>
      </c>
    </row>
    <row r="6" spans="1:6" x14ac:dyDescent="0.35">
      <c r="A6" t="s">
        <v>33</v>
      </c>
      <c r="B6" t="s">
        <v>33</v>
      </c>
      <c r="C6">
        <v>70</v>
      </c>
      <c r="D6">
        <v>1</v>
      </c>
      <c r="E6">
        <v>4</v>
      </c>
      <c r="F6">
        <v>11</v>
      </c>
    </row>
    <row r="7" spans="1:6" x14ac:dyDescent="0.35">
      <c r="A7" t="s">
        <v>40</v>
      </c>
      <c r="B7" t="s">
        <v>34</v>
      </c>
      <c r="C7">
        <v>100</v>
      </c>
      <c r="D7">
        <v>0</v>
      </c>
      <c r="E7">
        <v>0</v>
      </c>
      <c r="F7">
        <v>1</v>
      </c>
    </row>
    <row r="8" spans="1:6" x14ac:dyDescent="0.35">
      <c r="A8" t="s">
        <v>46</v>
      </c>
      <c r="B8" t="s">
        <v>36</v>
      </c>
      <c r="C8">
        <v>70</v>
      </c>
      <c r="D8">
        <v>1</v>
      </c>
      <c r="E8">
        <v>2</v>
      </c>
      <c r="F8">
        <v>5</v>
      </c>
    </row>
    <row r="9" spans="1:6" x14ac:dyDescent="0.35">
      <c r="A9" t="s">
        <v>44</v>
      </c>
      <c r="B9" t="s">
        <v>37</v>
      </c>
      <c r="C9">
        <v>80</v>
      </c>
      <c r="D9">
        <v>0</v>
      </c>
      <c r="E9">
        <v>0</v>
      </c>
      <c r="F9">
        <v>1</v>
      </c>
    </row>
    <row r="10" spans="1:6" x14ac:dyDescent="0.35">
      <c r="A10" t="s">
        <v>45</v>
      </c>
      <c r="B10" t="s">
        <v>33</v>
      </c>
      <c r="C10">
        <v>50</v>
      </c>
      <c r="D10">
        <v>1</v>
      </c>
      <c r="E10">
        <v>6</v>
      </c>
      <c r="F10">
        <v>11</v>
      </c>
    </row>
    <row r="11" spans="1:6" x14ac:dyDescent="0.35">
      <c r="A11" t="s">
        <v>48</v>
      </c>
      <c r="B11" t="s">
        <v>48</v>
      </c>
      <c r="C11">
        <v>100</v>
      </c>
      <c r="D11">
        <v>0</v>
      </c>
      <c r="E11">
        <v>0</v>
      </c>
      <c r="F11">
        <v>0</v>
      </c>
    </row>
    <row r="12" spans="1:6" x14ac:dyDescent="0.35">
      <c r="A12" t="s">
        <v>36</v>
      </c>
      <c r="B12" t="s">
        <v>36</v>
      </c>
      <c r="C12">
        <v>80</v>
      </c>
      <c r="D12">
        <v>1</v>
      </c>
      <c r="E12">
        <v>1</v>
      </c>
      <c r="F12">
        <v>3</v>
      </c>
    </row>
    <row r="13" spans="1:6" x14ac:dyDescent="0.35">
      <c r="A13" t="s">
        <v>34</v>
      </c>
      <c r="B13" t="s">
        <v>34</v>
      </c>
      <c r="C13">
        <v>40</v>
      </c>
      <c r="D13">
        <v>0</v>
      </c>
      <c r="E13">
        <v>1</v>
      </c>
      <c r="F13">
        <v>2</v>
      </c>
    </row>
    <row r="14" spans="1:6" x14ac:dyDescent="0.35">
      <c r="A14" t="s">
        <v>51</v>
      </c>
      <c r="B14" t="s">
        <v>37</v>
      </c>
      <c r="C14">
        <v>60</v>
      </c>
      <c r="D14">
        <v>1</v>
      </c>
      <c r="E14">
        <v>1</v>
      </c>
      <c r="F14">
        <v>4</v>
      </c>
    </row>
    <row r="15" spans="1:6" x14ac:dyDescent="0.35">
      <c r="A15" t="s">
        <v>37</v>
      </c>
      <c r="B15" t="s">
        <v>37</v>
      </c>
      <c r="C15">
        <v>80</v>
      </c>
      <c r="D15">
        <v>1</v>
      </c>
      <c r="E15">
        <v>0</v>
      </c>
      <c r="F15">
        <v>3</v>
      </c>
    </row>
    <row r="16" spans="1:6" x14ac:dyDescent="0.35">
      <c r="A16" t="s">
        <v>52</v>
      </c>
      <c r="B16" t="s">
        <v>52</v>
      </c>
      <c r="C16">
        <v>60</v>
      </c>
      <c r="D16">
        <v>0</v>
      </c>
      <c r="E16">
        <v>0</v>
      </c>
      <c r="F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B9" sqref="B9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5" t="s">
        <v>61</v>
      </c>
      <c r="B1" s="5"/>
      <c r="C1" s="5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2026-03-10T21:32:26Z</dcterms:modified>
</cp:coreProperties>
</file>